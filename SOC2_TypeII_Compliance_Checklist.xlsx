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ommon Criteria (CC1-CC5)" sheetId="2" state="visible" r:id="rId4"/>
    <sheet name="Availability (A)" sheetId="3" state="visible" r:id="rId5"/>
    <sheet name="Processing Integrity (PI)" sheetId="4" state="visible" r:id="rId6"/>
    <sheet name="Confidentiality (C)" sheetId="5" state="visible" r:id="rId7"/>
    <sheet name="Privacy (P)" sheetId="6" state="visible" r:id="rId8"/>
    <sheet name="Control Matrix" sheetId="7" state="visible" r:id="rId9"/>
    <sheet name="Audit &amp; Exception Tracke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<sst xmlns="http://schemas.openxmlformats.org/spreadsheetml/2006/main" count="587" uniqueCount="414">
  <si>
    <t xml:space="preserve">SOC 2 Type II — Trust Services Criteria Compliance Checklist</t>
  </si>
  <si>
    <t xml:space="preserve">AICPA Trust Services Criteria (2017 with 2022 Points of Focus Updates)</t>
  </si>
  <si>
    <t xml:space="preserve">Organisation:</t>
  </si>
  <si>
    <t xml:space="preserve">Audit Period:</t>
  </si>
  <si>
    <t xml:space="preserve">Service Auditor:</t>
  </si>
  <si>
    <t xml:space="preserve">Report Type:</t>
  </si>
  <si>
    <t xml:space="preserve">Trust Service Categories:</t>
  </si>
  <si>
    <t xml:space="preserve">Status:</t>
  </si>
  <si>
    <t xml:space="preserve">Version:</t>
  </si>
  <si>
    <t xml:space="preserve">Scoping Notes:</t>
  </si>
  <si>
    <t xml:space="preserve">COMPLIANCE SUMMARY BY TRUST SERVICE CATEGORY</t>
  </si>
  <si>
    <t xml:space="preserve">Category</t>
  </si>
  <si>
    <t xml:space="preserve">Trust Service Category</t>
  </si>
  <si>
    <t xml:space="preserve">Total Criteria</t>
  </si>
  <si>
    <t xml:space="preserve">Met</t>
  </si>
  <si>
    <t xml:space="preserve">Partially Met</t>
  </si>
  <si>
    <t xml:space="preserve">Not Met</t>
  </si>
  <si>
    <t xml:space="preserve">Not Applicable</t>
  </si>
  <si>
    <t xml:space="preserve">% Complete</t>
  </si>
  <si>
    <t xml:space="preserve">CC</t>
  </si>
  <si>
    <t xml:space="preserve">Common Criteria (Security — Required for all SOC 2)</t>
  </si>
  <si>
    <t xml:space="preserve">A</t>
  </si>
  <si>
    <t xml:space="preserve">Availability</t>
  </si>
  <si>
    <t xml:space="preserve">PI</t>
  </si>
  <si>
    <t xml:space="preserve">Processing Integrity</t>
  </si>
  <si>
    <t xml:space="preserve">C</t>
  </si>
  <si>
    <t xml:space="preserve">Confidentiality</t>
  </si>
  <si>
    <t xml:space="preserve">P</t>
  </si>
  <si>
    <t xml:space="preserve">Privacy</t>
  </si>
  <si>
    <t xml:space="preserve">TOTAL</t>
  </si>
  <si>
    <t xml:space="preserve">STATUS LEGEND</t>
  </si>
  <si>
    <t xml:space="preserve">●</t>
  </si>
  <si>
    <t xml:space="preserve">Criteria fully met with documented evidence of operating effectiveness</t>
  </si>
  <si>
    <t xml:space="preserve">Criteria partially met; some evidence gaps or exceptions noted</t>
  </si>
  <si>
    <t xml:space="preserve">Criteria not met; significant gaps or no evidence</t>
  </si>
  <si>
    <t xml:space="preserve">Criteria not applicable to selected trust service categories</t>
  </si>
  <si>
    <t xml:space="preserve">Not Assessed</t>
  </si>
  <si>
    <t xml:space="preserve">Pending review or evidence collection</t>
  </si>
  <si>
    <t xml:space="preserve">SOC 2 — Common Criteria (CC1-CC5)</t>
  </si>
  <si>
    <t xml:space="preserve">Criteria Ref</t>
  </si>
  <si>
    <t xml:space="preserve">Criteria / Point of Focus</t>
  </si>
  <si>
    <t xml:space="preserve">Control Description &amp; Key Evidence</t>
  </si>
  <si>
    <t xml:space="preserve">Status</t>
  </si>
  <si>
    <t xml:space="preserve">Control Owner</t>
  </si>
  <si>
    <t xml:space="preserve">Test of Design Evidence</t>
  </si>
  <si>
    <t xml:space="preserve">Test of Operating Effectiveness</t>
  </si>
  <si>
    <t xml:space="preserve">Exceptions / Gap</t>
  </si>
  <si>
    <t xml:space="preserve">Management Response</t>
  </si>
  <si>
    <t xml:space="preserve">CC1 — CONTROL ENVIRONMENT</t>
  </si>
  <si>
    <t xml:space="preserve">CC1.1</t>
  </si>
  <si>
    <t xml:space="preserve">COSO Principle 1: Demonstrates commitment to integrity and ethical values</t>
  </si>
  <si>
    <t xml:space="preserve">Code of conduct; ethics training records; tone-at-the-top communications; whistleblower policy</t>
  </si>
  <si>
    <t xml:space="preserve">CC1.2</t>
  </si>
  <si>
    <t xml:space="preserve">COSO Principle 2: Board exercises oversight responsibility</t>
  </si>
  <si>
    <t xml:space="preserve">Board charter; audit committee minutes; IS oversight agenda items; board composition evidence</t>
  </si>
  <si>
    <t xml:space="preserve">CC1.3</t>
  </si>
  <si>
    <t xml:space="preserve">COSO Principle 3: Management establishes structure, authority and responsibility</t>
  </si>
  <si>
    <t xml:space="preserve">Org chart; RACI matrix; delegated authorities; role descriptions</t>
  </si>
  <si>
    <t xml:space="preserve">CC1.4</t>
  </si>
  <si>
    <t xml:space="preserve">COSO Principle 4: Demonstrates commitment to competence</t>
  </si>
  <si>
    <t xml:space="preserve">Competency framework; hiring standards; training plans; performance review evidence</t>
  </si>
  <si>
    <t xml:space="preserve">CC1.5</t>
  </si>
  <si>
    <t xml:space="preserve">COSO Principle 5: Enforces accountability</t>
  </si>
  <si>
    <t xml:space="preserve">Performance metrics; disciplinary policy; accountability records; escalation evidence</t>
  </si>
  <si>
    <t xml:space="preserve">CC2 — COMMUNICATION AND INFORMATION</t>
  </si>
  <si>
    <t xml:space="preserve">CC2.1</t>
  </si>
  <si>
    <t xml:space="preserve">COSO Principle 13: Uses relevant, quality information</t>
  </si>
  <si>
    <t xml:space="preserve">Information quality standards; data governance policy; system-generated report validation</t>
  </si>
  <si>
    <t xml:space="preserve">CC2.2</t>
  </si>
  <si>
    <t xml:space="preserve">COSO Principle 14: Communicates internally</t>
  </si>
  <si>
    <t xml:space="preserve">Internal communications plan; policy distribution evidence; all-staff briefings on IS requirements</t>
  </si>
  <si>
    <t xml:space="preserve">CC2.3</t>
  </si>
  <si>
    <t xml:space="preserve">COSO Principle 15: Communicates externally</t>
  </si>
  <si>
    <t xml:space="preserve">External disclosure policy; customer security commitments; SLA communication; breach notification procedure</t>
  </si>
  <si>
    <t xml:space="preserve">CC3 — RISK ASSESSMENT</t>
  </si>
  <si>
    <t xml:space="preserve">CC3.1</t>
  </si>
  <si>
    <t xml:space="preserve">COSO Principle 6: Specifies suitable objectives</t>
  </si>
  <si>
    <t xml:space="preserve">ISMS/security objectives; business objectives linkage; measurable targets</t>
  </si>
  <si>
    <t xml:space="preserve">CC3.2</t>
  </si>
  <si>
    <t xml:space="preserve">COSO Principle 7: Identifies and analyses risk</t>
  </si>
  <si>
    <t xml:space="preserve">Risk assessment methodology; risk register; threat modelling; annual risk review</t>
  </si>
  <si>
    <t xml:space="preserve">CC3.3</t>
  </si>
  <si>
    <t xml:space="preserve">COSO Principle 8: Assesses fraud risk</t>
  </si>
  <si>
    <t xml:space="preserve">Fraud risk assessment; fraud indicators register; anti-fraud controls; review cadence</t>
  </si>
  <si>
    <t xml:space="preserve">CC3.4</t>
  </si>
  <si>
    <t xml:space="preserve">COSO Principle 9: Identifies and analyses significant change</t>
  </si>
  <si>
    <t xml:space="preserve">Change risk assessment; change management policy; post-implementation review</t>
  </si>
  <si>
    <t xml:space="preserve">CC4 — MONITORING ACTIVITIES</t>
  </si>
  <si>
    <t xml:space="preserve">CC4.1</t>
  </si>
  <si>
    <t xml:space="preserve">COSO Principle 16: Conducts ongoing and/or separate evaluations</t>
  </si>
  <si>
    <t xml:space="preserve">Continuous monitoring programme; automated controls testing; KRI dashboards</t>
  </si>
  <si>
    <t xml:space="preserve">CC4.2</t>
  </si>
  <si>
    <t xml:space="preserve">COSO Principle 17: Evaluates and communicates deficiencies</t>
  </si>
  <si>
    <t xml:space="preserve">Deficiency tracking log; escalation procedure; remediation evidence; management reporting</t>
  </si>
  <si>
    <t xml:space="preserve">CC5 — CONTROL ACTIVITIES</t>
  </si>
  <si>
    <t xml:space="preserve">CC5.1</t>
  </si>
  <si>
    <t xml:space="preserve">COSO Principle 10: Selects and develops control activities</t>
  </si>
  <si>
    <t xml:space="preserve">Control inventory; control design rationale; risk-to-control mapping</t>
  </si>
  <si>
    <t xml:space="preserve">CC5.2</t>
  </si>
  <si>
    <t xml:space="preserve">COSO Principle 11: Selects and develops general controls over technology</t>
  </si>
  <si>
    <t xml:space="preserve">IT general controls (ITGC) framework; logical access; change management; operations controls</t>
  </si>
  <si>
    <t xml:space="preserve">CC5.3</t>
  </si>
  <si>
    <t xml:space="preserve">COSO Principle 12: Deploys through policies and procedures</t>
  </si>
  <si>
    <t xml:space="preserve">Policy suite; procedure documentation; evidence of deployment; exception handling</t>
  </si>
  <si>
    <t xml:space="preserve">CC6 — LOGICAL AND PHYSICAL ACCESS CONTROLS</t>
  </si>
  <si>
    <t xml:space="preserve">CC6.1</t>
  </si>
  <si>
    <t xml:space="preserve">Logical access security measures to protect against threats from sources outside system boundaries</t>
  </si>
  <si>
    <t xml:space="preserve">Perimeter controls; firewall policy; DMZ architecture; external threat detection</t>
  </si>
  <si>
    <t xml:space="preserve">CC6.2</t>
  </si>
  <si>
    <t xml:space="preserve">Access credentials issued and maintained based on authorised user identification</t>
  </si>
  <si>
    <t xml:space="preserve">IAM provisioning; unique IDs; credential policy; joiners/movers/leavers process</t>
  </si>
  <si>
    <t xml:space="preserve">CC6.3</t>
  </si>
  <si>
    <t xml:space="preserve">Access to protected information assets is limited to authorised and necessary individuals</t>
  </si>
  <si>
    <t xml:space="preserve">Role-based access control; least privilege; access matrix; data classification controls</t>
  </si>
  <si>
    <t xml:space="preserve">CC6.4</t>
  </si>
  <si>
    <t xml:space="preserve">Access credentials are periodically reviewed to confirm alignment with job roles</t>
  </si>
  <si>
    <t xml:space="preserve">Quarterly access reviews; recertification evidence; excess access remediated</t>
  </si>
  <si>
    <t xml:space="preserve">CC6.5</t>
  </si>
  <si>
    <t xml:space="preserve">Authentication credentials expire, are revoked or are disabled upon termination</t>
  </si>
  <si>
    <t xml:space="preserve">Offboarding SLA (same day); revocation evidence; orphan account scan</t>
  </si>
  <si>
    <t xml:space="preserve">CC6.6</t>
  </si>
  <si>
    <t xml:space="preserve">Logical access security measures protect against threats from sources outside the boundaries</t>
  </si>
  <si>
    <t xml:space="preserve">MFA for remote access; VPN; zero-trust controls; external access review</t>
  </si>
  <si>
    <t xml:space="preserve">CC6.7</t>
  </si>
  <si>
    <t xml:space="preserve">Transmission, movement, and removal of information restricted to authorised individuals</t>
  </si>
  <si>
    <t xml:space="preserve">DLP policy; approved data movement channels; transfer logging; encryption in transit</t>
  </si>
  <si>
    <t xml:space="preserve">CC6.8</t>
  </si>
  <si>
    <t xml:space="preserve">Controls implemented to prevent or detect and act upon the introduction of malware</t>
  </si>
  <si>
    <t xml:space="preserve">EDR/AV deployment; malware incident log; email gateway; URL filtering</t>
  </si>
  <si>
    <t xml:space="preserve">CC7 — SYSTEM OPERATIONS</t>
  </si>
  <si>
    <t xml:space="preserve">CC7.1</t>
  </si>
  <si>
    <t xml:space="preserve">Detection and monitoring procedures are in place to identify changes to configurations</t>
  </si>
  <si>
    <t xml:space="preserve">Configuration management; SIEM; change detection; config baseline comparisons</t>
  </si>
  <si>
    <t xml:space="preserve">CC7.2</t>
  </si>
  <si>
    <t xml:space="preserve">System components are monitored to detect anomalies indicating security events</t>
  </si>
  <si>
    <t xml:space="preserve">SIEM rules; anomaly detection; UBA; alert thresholds; on-call procedures</t>
  </si>
  <si>
    <t xml:space="preserve">CC7.3</t>
  </si>
  <si>
    <t xml:space="preserve">Identified security events are evaluated to determine whether they represent security incidents</t>
  </si>
  <si>
    <t xml:space="preserve">Triage SOP; incident classification criteria; SOC analyst runbooks</t>
  </si>
  <si>
    <t xml:space="preserve">CC7.4</t>
  </si>
  <si>
    <t xml:space="preserve">Identified security incidents are contained, eradicated, and recovered from</t>
  </si>
  <si>
    <t xml:space="preserve">IRP with contain/eradicate/recover phases; tabletop exercises; playbooks</t>
  </si>
  <si>
    <t xml:space="preserve">CC7.5</t>
  </si>
  <si>
    <t xml:space="preserve">Identified vulnerabilities are remediated through a defined vulnerability management programme</t>
  </si>
  <si>
    <t xml:space="preserve">Vulnerability scanning schedule; CVSS-based SLAs; remediation tracking; exception process</t>
  </si>
  <si>
    <t xml:space="preserve">CC8 — CHANGE MANAGEMENT</t>
  </si>
  <si>
    <t xml:space="preserve">CC8.1</t>
  </si>
  <si>
    <t xml:space="preserve">Changes to infrastructure, data, software and procedures are managed</t>
  </si>
  <si>
    <t xml:space="preserve">Change management policy; CAB process; change tickets; approval evidence; rollback plans</t>
  </si>
  <si>
    <t xml:space="preserve">CC9 — RISK MITIGATION</t>
  </si>
  <si>
    <t xml:space="preserve">CC9.1</t>
  </si>
  <si>
    <t xml:space="preserve">Entity identifies, selects and develops risk mitigation activities for risks arising from potential business disruptions</t>
  </si>
  <si>
    <t xml:space="preserve">BCP/DR plan; RTO/RPO targets; DR test results; risk treatment decisions</t>
  </si>
  <si>
    <t xml:space="preserve">CC9.2</t>
  </si>
  <si>
    <t xml:space="preserve">Entity assesses and manages risks associated with vendors and business partners</t>
  </si>
  <si>
    <t xml:space="preserve">Vendor risk assessment; supplier register; DPA/SLA; right-to-audit; annual vendor review</t>
  </si>
  <si>
    <t xml:space="preserve">SOC 2 — Availability (A)</t>
  </si>
  <si>
    <t xml:space="preserve">A — AVAILABILITY CRITERIA</t>
  </si>
  <si>
    <t xml:space="preserve">A1.1</t>
  </si>
  <si>
    <t xml:space="preserve">Current processing capacity and usage are maintained, monitored, and evaluated to manage capacity demand</t>
  </si>
  <si>
    <t xml:space="preserve">Capacity planning documentation; utilisation dashboards; auto-scaling configuration; capacity alerts</t>
  </si>
  <si>
    <t xml:space="preserve">A1.2</t>
  </si>
  <si>
    <t xml:space="preserve">Environmental protections, software, data backup processes, and recovery infrastructure are designed, developed, and implemented</t>
  </si>
  <si>
    <t xml:space="preserve">BCP/DR plan; RTO/RPO objectives; backup schedule; recovery infrastructure design; DR site documentation</t>
  </si>
  <si>
    <t xml:space="preserve">A1.3</t>
  </si>
  <si>
    <t xml:space="preserve">Recovery plan procedures supporting system recovery are tested to limit the effects of, and recover from, system disruptions</t>
  </si>
  <si>
    <t xml:space="preserve">Annual DR test evidence; tabletop/full failover results; RTO/RPO achievement; lessons learned</t>
  </si>
  <si>
    <t xml:space="preserve">A.Supp.1</t>
  </si>
  <si>
    <t xml:space="preserve">Backup and recovery processes are in place and tested regularly</t>
  </si>
  <si>
    <t xml:space="preserve">Backup schedule; test restoration results; offsite backup storage; backup integrity checks</t>
  </si>
  <si>
    <t xml:space="preserve">A.Supp.2</t>
  </si>
  <si>
    <t xml:space="preserve">System redundancy is built into the architecture</t>
  </si>
  <si>
    <t xml:space="preserve">HA architecture diagram; load balancing; multi-AZ/region deployment; failover evidence</t>
  </si>
  <si>
    <t xml:space="preserve">A.Supp.3</t>
  </si>
  <si>
    <t xml:space="preserve">Uptime and availability SLAs are monitored and reported</t>
  </si>
  <si>
    <t xml:space="preserve">Uptime dashboards; SLA performance reports; incident impact analysis; customer notifications</t>
  </si>
  <si>
    <t xml:space="preserve">A.Supp.4</t>
  </si>
  <si>
    <t xml:space="preserve">Denial of service protection measures are implemented</t>
  </si>
  <si>
    <t xml:space="preserve">DDoS protection (Cloudflare/AWS Shield/etc.); traffic filtering; rate limiting; incident response</t>
  </si>
  <si>
    <t xml:space="preserve">SOC 2 — Processing Integrity (PI)</t>
  </si>
  <si>
    <t xml:space="preserve">PI — PROCESSING INTEGRITY CRITERIA</t>
  </si>
  <si>
    <t xml:space="preserve">PI1.1</t>
  </si>
  <si>
    <t xml:space="preserve">Procedures are in place to assess the completeness, accuracy, timeliness and authorisation of inputs</t>
  </si>
  <si>
    <t xml:space="preserve">Input validation controls; data entry procedures; reconciliation process; authorisation workflow</t>
  </si>
  <si>
    <t xml:space="preserve">PI1.2</t>
  </si>
  <si>
    <t xml:space="preserve">System processing is complete, accurate, timely, and authorised</t>
  </si>
  <si>
    <t xml:space="preserve">Processing logs; exception handling; automated reconciliation; approval workflows</t>
  </si>
  <si>
    <t xml:space="preserve">PI1.3</t>
  </si>
  <si>
    <t xml:space="preserve">Output is complete, accurate, and distributed in accordance with customer specifications</t>
  </si>
  <si>
    <t xml:space="preserve">Output validation; delivery confirmation; error handling; customer notification procedures</t>
  </si>
  <si>
    <t xml:space="preserve">PI.Supp.1</t>
  </si>
  <si>
    <t xml:space="preserve">System inputs are validated before processing</t>
  </si>
  <si>
    <t xml:space="preserve">Input validation rules; pre-processing checks; error queue management; rejection handling</t>
  </si>
  <si>
    <t xml:space="preserve">PI.Supp.2</t>
  </si>
  <si>
    <t xml:space="preserve">System errors are logged, monitored, and resolved</t>
  </si>
  <si>
    <t xml:space="preserve">Error logging; SIEM alerting; escalation process; root cause analysis</t>
  </si>
  <si>
    <t xml:space="preserve">PI.Supp.3</t>
  </si>
  <si>
    <t xml:space="preserve">Data integrity is maintained throughout the processing lifecycle</t>
  </si>
  <si>
    <t xml:space="preserve">Checksums/hashing; integrity monitoring; immutable audit logs; reconciliation</t>
  </si>
  <si>
    <t xml:space="preserve">PI.Supp.4</t>
  </si>
  <si>
    <t xml:space="preserve">Transactions are authorised before processing</t>
  </si>
  <si>
    <t xml:space="preserve">Authorisation matrix; dual-control for high-value transactions; authorisation audit trail</t>
  </si>
  <si>
    <t xml:space="preserve">PI.Supp.5</t>
  </si>
  <si>
    <t xml:space="preserve">Cutoff and batching procedures ensure completeness</t>
  </si>
  <si>
    <t xml:space="preserve">Batch reconciliation; cutoff procedures; exception reports; sign-off evidence</t>
  </si>
  <si>
    <t xml:space="preserve">PI.Supp.6</t>
  </si>
  <si>
    <t xml:space="preserve">System processing is monitored for completeness and accuracy</t>
  </si>
  <si>
    <t xml:space="preserve">Monitoring dashboards; SLA compliance; automated alerts; daily reconciliation</t>
  </si>
  <si>
    <t xml:space="preserve">PI.Supp.7</t>
  </si>
  <si>
    <t xml:space="preserve">Data retention and disposal aligns with processing requirements</t>
  </si>
  <si>
    <t xml:space="preserve">Retention schedule; disposal SOP; data lifecycle management; legal hold process</t>
  </si>
  <si>
    <t xml:space="preserve">PI.Supp.8</t>
  </si>
  <si>
    <t xml:space="preserve">Amendments to data are controlled</t>
  </si>
  <si>
    <t xml:space="preserve">Change data capture; audit trail; amendment authorisation; version history</t>
  </si>
  <si>
    <t xml:space="preserve">PI.Supp.9</t>
  </si>
  <si>
    <t xml:space="preserve">System availability supports processing commitments</t>
  </si>
  <si>
    <t xml:space="preserve">Uptime SLAs; scheduled maintenance windows; incident response; change freeze periods</t>
  </si>
  <si>
    <t xml:space="preserve">PI.Supp.10</t>
  </si>
  <si>
    <t xml:space="preserve">Processing and output are distributed to authorised recipients</t>
  </si>
  <si>
    <t xml:space="preserve">Distribution lists; secure delivery; output access controls; delivery confirmation</t>
  </si>
  <si>
    <t xml:space="preserve">SOC 2 — Confidentiality (C)</t>
  </si>
  <si>
    <t xml:space="preserve">C — CONFIDENTIALITY CRITERIA</t>
  </si>
  <si>
    <t xml:space="preserve">C1.1</t>
  </si>
  <si>
    <t xml:space="preserve">Confidential information is protected during the system design, development, testing, maintenance, and processing</t>
  </si>
  <si>
    <t xml:space="preserve">Data classification applied in SDLC; secure coding; test data masking; access-controlled environments</t>
  </si>
  <si>
    <t xml:space="preserve">C1.2</t>
  </si>
  <si>
    <t xml:space="preserve">Confidential information is protected from unauthorised access and disclosure</t>
  </si>
  <si>
    <t xml:space="preserve">Access controls; encryption at rest and in transit; DLP; data classification enforcement</t>
  </si>
  <si>
    <t xml:space="preserve">C.Supp.1</t>
  </si>
  <si>
    <t xml:space="preserve">Confidential information is identified, classified and labelled</t>
  </si>
  <si>
    <t xml:space="preserve">Classification scheme; labelling guidelines; data discovery scans; owner assignments</t>
  </si>
  <si>
    <t xml:space="preserve">C.Supp.2</t>
  </si>
  <si>
    <t xml:space="preserve">Confidential information is disposed of securely when no longer needed</t>
  </si>
  <si>
    <t xml:space="preserve">Secure disposal SOP; destruction certificates; media sanitisation; retention schedule compliance</t>
  </si>
  <si>
    <t xml:space="preserve">SOC 2 — Privacy (P)</t>
  </si>
  <si>
    <t xml:space="preserve">P — PRIVACY CRITERIA</t>
  </si>
  <si>
    <t xml:space="preserve">P1.0</t>
  </si>
  <si>
    <t xml:space="preserve">Notice and Communication of Objectives — Privacy notice provided</t>
  </si>
  <si>
    <t xml:space="preserve">Privacy notice/policy; notice at collection; last-reviewed date; accessible to data subjects</t>
  </si>
  <si>
    <t xml:space="preserve">P2.0</t>
  </si>
  <si>
    <t xml:space="preserve">Choice and Consent — Consent obtained and managed</t>
  </si>
  <si>
    <t xml:space="preserve">Consent management platform; opt-in/opt-out records; consent withdrawal mechanism; DPDP/GDPR alignment</t>
  </si>
  <si>
    <t xml:space="preserve">P3.0</t>
  </si>
  <si>
    <t xml:space="preserve">Collection — Personal information collected only as needed</t>
  </si>
  <si>
    <t xml:space="preserve">Data minimisation policy; data inventory; PIA/DPIA for new processing; lawful basis documentation</t>
  </si>
  <si>
    <t xml:space="preserve">P4.0</t>
  </si>
  <si>
    <t xml:space="preserve">Use, Retention and Disposal — PI used only as consented</t>
  </si>
  <si>
    <t xml:space="preserve">Purpose limitation controls; retention schedule; automated disposal; legal hold exception process</t>
  </si>
  <si>
    <t xml:space="preserve">P5.0</t>
  </si>
  <si>
    <t xml:space="preserve">Access — Data subject access requests handled</t>
  </si>
  <si>
    <t xml:space="preserve">DSAR process; response SLA (30/45 days); identity verification; DSAR log</t>
  </si>
  <si>
    <t xml:space="preserve">P6.0</t>
  </si>
  <si>
    <t xml:space="preserve">Disclosure and Notification — PI disclosed only to authorised third parties</t>
  </si>
  <si>
    <t xml:space="preserve">Data sharing register; DPA/NDA signed; third-party disclosure log; breach notification procedure</t>
  </si>
  <si>
    <t xml:space="preserve">P7.0</t>
  </si>
  <si>
    <t xml:space="preserve">Quality — PI is accurate, complete and current</t>
  </si>
  <si>
    <t xml:space="preserve">Data quality process; correction mechanism; data subject update requests; data quality audits</t>
  </si>
  <si>
    <t xml:space="preserve">P8.0</t>
  </si>
  <si>
    <t xml:space="preserve">Monitoring and Enforcement — Privacy programme monitored</t>
  </si>
  <si>
    <t xml:space="preserve">Privacy audit programme; DPA/DPO oversight; complaint handling; regulatory reporting</t>
  </si>
  <si>
    <t xml:space="preserve">P.Supp.1</t>
  </si>
  <si>
    <t xml:space="preserve">Data subject rights implemented (access, rectification, erasure, portability)</t>
  </si>
  <si>
    <t xml:space="preserve">Rights fulfilment procedure; SLA evidence; fulfilment log; refusal justification process</t>
  </si>
  <si>
    <t xml:space="preserve">P.Supp.2</t>
  </si>
  <si>
    <t xml:space="preserve">Privacy impact assessments conducted for new processing</t>
  </si>
  <si>
    <t xml:space="preserve">DPIA register; trigger criteria; DPIA approval; risk mitigation evidence</t>
  </si>
  <si>
    <t xml:space="preserve">P.Supp.3</t>
  </si>
  <si>
    <t xml:space="preserve">Cross-border data transfers managed with appropriate safeguards</t>
  </si>
  <si>
    <t xml:space="preserve">Transfer mechanism register (SCCs/BCRs/adequacy); transfer impact assessments</t>
  </si>
  <si>
    <t xml:space="preserve">P.Supp.4</t>
  </si>
  <si>
    <t xml:space="preserve">Sensitive personal data subject to additional protections</t>
  </si>
  <si>
    <t xml:space="preserve">Sensitive data inventory; enhanced access controls; explicit consent; processing restrictions</t>
  </si>
  <si>
    <t xml:space="preserve">P.Supp.5</t>
  </si>
  <si>
    <t xml:space="preserve">Data breach response procedure in place</t>
  </si>
  <si>
    <t xml:space="preserve">Breach response plan; notification SLA (72hr GDPR/DPDP); breach log; regulatory notification evidence</t>
  </si>
  <si>
    <t xml:space="preserve">P.Supp.6</t>
  </si>
  <si>
    <t xml:space="preserve">Privacy training delivered to relevant personnel</t>
  </si>
  <si>
    <t xml:space="preserve">Privacy training records; role-based curriculum; annual refresh; completion rates</t>
  </si>
  <si>
    <t xml:space="preserve">P.Supp.7</t>
  </si>
  <si>
    <t xml:space="preserve">Vendor/processor contracts include required privacy clauses</t>
  </si>
  <si>
    <t xml:space="preserve">DPA templates; signed DPAs; processor obligations; sub-processor management</t>
  </si>
  <si>
    <t xml:space="preserve">P.Supp.8</t>
  </si>
  <si>
    <t xml:space="preserve">Retention periods defined and enforced for personal information</t>
  </si>
  <si>
    <t xml:space="preserve">Retention schedule per data category; automated deletion; destruction evidence</t>
  </si>
  <si>
    <t xml:space="preserve">P.Supp.9</t>
  </si>
  <si>
    <t xml:space="preserve">Privacy governance structure established</t>
  </si>
  <si>
    <t xml:space="preserve">DPO/Privacy Officer appointed; privacy committee; escalation path; board reporting</t>
  </si>
  <si>
    <t xml:space="preserve">P.Supp.10</t>
  </si>
  <si>
    <t xml:space="preserve">Privacy metrics tracked and reported</t>
  </si>
  <si>
    <t xml:space="preserve">Privacy KPIs; DSAR/breach metrics; training completion; audit findings</t>
  </si>
  <si>
    <t xml:space="preserve">P.Supp.11</t>
  </si>
  <si>
    <t xml:space="preserve">Consent records maintained and auditable</t>
  </si>
  <si>
    <t xml:space="preserve">Consent audit trail; timestamp; version of notice; withdrawal records</t>
  </si>
  <si>
    <t xml:space="preserve">P.Supp.12</t>
  </si>
  <si>
    <t xml:space="preserve">Children's data subject to enhanced protections (if applicable)</t>
  </si>
  <si>
    <t xml:space="preserve">Age verification; parental consent; restricted processing; enhanced security</t>
  </si>
  <si>
    <t xml:space="preserve">P.Supp.13</t>
  </si>
  <si>
    <t xml:space="preserve">Automated decision-making disclosed and subject to review rights</t>
  </si>
  <si>
    <t xml:space="preserve">ADM disclosure; opt-out mechanism; human review process; explainability evidence</t>
  </si>
  <si>
    <t xml:space="preserve">P.Supp.14</t>
  </si>
  <si>
    <t xml:space="preserve">Privacy-by-design embedded in product/system development</t>
  </si>
  <si>
    <t xml:space="preserve">PbD checklist; design review gate; DPIA in SDLC; privacy risk sign-off</t>
  </si>
  <si>
    <t xml:space="preserve">SOC 2 — Control Matrix: Criteria to Control Mapping</t>
  </si>
  <si>
    <t xml:space="preserve">Control ID</t>
  </si>
  <si>
    <t xml:space="preserve">Control Name / Description</t>
  </si>
  <si>
    <t xml:space="preserve">Control Type</t>
  </si>
  <si>
    <t xml:space="preserve">TSC Criteria Mapped</t>
  </si>
  <si>
    <t xml:space="preserve">Frequency</t>
  </si>
  <si>
    <t xml:space="preserve">Test Procedure</t>
  </si>
  <si>
    <t xml:space="preserve">Test Result</t>
  </si>
  <si>
    <t xml:space="preserve">Last Tested</t>
  </si>
  <si>
    <t xml:space="preserve">Next Test Due</t>
  </si>
  <si>
    <t xml:space="preserve">CTL-001</t>
  </si>
  <si>
    <t xml:space="preserve">Multi-Factor Authentication for all privileged access</t>
  </si>
  <si>
    <t xml:space="preserve">Preventive</t>
  </si>
  <si>
    <t xml:space="preserve">CC6.1, CC6.2, CC6.6</t>
  </si>
  <si>
    <t xml:space="preserve">Continuous</t>
  </si>
  <si>
    <t xml:space="preserve">IT Security</t>
  </si>
  <si>
    <t xml:space="preserve">Inspect MFA configuration; sample 25 privileged accounts; confirm MFA enrolled and enforced</t>
  </si>
  <si>
    <t xml:space="preserve">Effective</t>
  </si>
  <si>
    <t xml:space="preserve">2024-01-10</t>
  </si>
  <si>
    <t xml:space="preserve">2024-07-10</t>
  </si>
  <si>
    <t xml:space="preserve">CTL-002</t>
  </si>
  <si>
    <t xml:space="preserve">Quarterly user access review and recertification</t>
  </si>
  <si>
    <t xml:space="preserve">Detective</t>
  </si>
  <si>
    <t xml:space="preserve">CC6.3, CC6.4</t>
  </si>
  <si>
    <t xml:space="preserve">Quarterly</t>
  </si>
  <si>
    <t xml:space="preserve">Inspect Q4 access review evidence; confirm all accounts reviewed; excess access removed</t>
  </si>
  <si>
    <t xml:space="preserve">2024-01-05</t>
  </si>
  <si>
    <t xml:space="preserve">2024-04-05</t>
  </si>
  <si>
    <t xml:space="preserve">CTL-003</t>
  </si>
  <si>
    <t xml:space="preserve">Change management — all changes require CAB approval</t>
  </si>
  <si>
    <t xml:space="preserve">Per change</t>
  </si>
  <si>
    <t xml:space="preserve">Change Manager</t>
  </si>
  <si>
    <t xml:space="preserve">Inspect sample of 25 changes; confirm CAB approval; test and rollback plan documented</t>
  </si>
  <si>
    <t xml:space="preserve">CTL-004</t>
  </si>
  <si>
    <t xml:space="preserve">Daily automated vulnerability scans with alert to security team</t>
  </si>
  <si>
    <t xml:space="preserve">Daily</t>
  </si>
  <si>
    <t xml:space="preserve">Security Eng</t>
  </si>
  <si>
    <t xml:space="preserve">Inspect scan tool configuration; review 30 days of scan logs; confirm critical alerts actioned within SLA</t>
  </si>
  <si>
    <t xml:space="preserve">Partially Effective</t>
  </si>
  <si>
    <t xml:space="preserve">2024-04-10</t>
  </si>
  <si>
    <t xml:space="preserve">CTL-005</t>
  </si>
  <si>
    <t xml:space="preserve">Annual business continuity and disaster recovery test</t>
  </si>
  <si>
    <t xml:space="preserve">Corrective</t>
  </si>
  <si>
    <t xml:space="preserve">A1.3, CC9.1</t>
  </si>
  <si>
    <t xml:space="preserve">Annual</t>
  </si>
  <si>
    <t xml:space="preserve">IT Operations</t>
  </si>
  <si>
    <t xml:space="preserve">Review DR test plan; inspect test results; confirm RTO/RPO targets achieved</t>
  </si>
  <si>
    <t xml:space="preserve">2023-11-15</t>
  </si>
  <si>
    <t xml:space="preserve">2024-11-15</t>
  </si>
  <si>
    <t xml:space="preserve">CTL-006</t>
  </si>
  <si>
    <t xml:space="preserve">Security awareness training — 100% completion target</t>
  </si>
  <si>
    <t xml:space="preserve">CC1.4, CC2.2</t>
  </si>
  <si>
    <t xml:space="preserve">People Ops</t>
  </si>
  <si>
    <t xml:space="preserve">Inspect training platform completion records; confirm 95%+ completion; review curriculum</t>
  </si>
  <si>
    <t xml:space="preserve">2025-01-05</t>
  </si>
  <si>
    <t xml:space="preserve">CTL-007</t>
  </si>
  <si>
    <t xml:space="preserve">Data classification and labelling enforced at creation</t>
  </si>
  <si>
    <t xml:space="preserve">CC6.7, C1.1, C1.2</t>
  </si>
  <si>
    <t xml:space="preserve">Data Governance</t>
  </si>
  <si>
    <t xml:space="preserve">Inspect DLP configuration; sample 20 documents; verify classification labels applied</t>
  </si>
  <si>
    <t xml:space="preserve">CTL-008</t>
  </si>
  <si>
    <t xml:space="preserve">Encryption at rest and in transit for all sensitive data</t>
  </si>
  <si>
    <t xml:space="preserve">CC6.7, C1.2, P.Supp.4</t>
  </si>
  <si>
    <t xml:space="preserve">Inspect encryption configurations; verify TLS versions; confirm AES-256 for data at rest</t>
  </si>
  <si>
    <t xml:space="preserve">CTL-009</t>
  </si>
  <si>
    <t xml:space="preserve">Privacy impact assessment for new processing activities</t>
  </si>
  <si>
    <t xml:space="preserve">P2.0, P3.0, P.Supp.2</t>
  </si>
  <si>
    <t xml:space="preserve">Per project</t>
  </si>
  <si>
    <t xml:space="preserve">Privacy Officer</t>
  </si>
  <si>
    <t xml:space="preserve">Inspect DPIA register; review sample 3 recent DPIAs; confirm risk mitigation implemented</t>
  </si>
  <si>
    <t xml:space="preserve">CTL-010</t>
  </si>
  <si>
    <t xml:space="preserve">Incident response plan — tested annually via tabletop exercise</t>
  </si>
  <si>
    <t xml:space="preserve">CC7.4, CC7.3</t>
  </si>
  <si>
    <t xml:space="preserve">CISO</t>
  </si>
  <si>
    <t xml:space="preserve">Review tabletop exercise record; confirm IRP updated post-exercise; lessons learned implemented</t>
  </si>
  <si>
    <t xml:space="preserve">2023-12-01</t>
  </si>
  <si>
    <t xml:space="preserve">2024-12-01</t>
  </si>
  <si>
    <t xml:space="preserve">SOC 2 — Audit Finding &amp; Exception Tracker</t>
  </si>
  <si>
    <t xml:space="preserve">Finding ID</t>
  </si>
  <si>
    <t xml:space="preserve">Audit Period</t>
  </si>
  <si>
    <t xml:space="preserve">TSC Criteria</t>
  </si>
  <si>
    <t xml:space="preserve">Finding / Exception Description</t>
  </si>
  <si>
    <t xml:space="preserve">Severity</t>
  </si>
  <si>
    <t xml:space="preserve">Root Cause</t>
  </si>
  <si>
    <t xml:space="preserve">Owner</t>
  </si>
  <si>
    <t xml:space="preserve">Target Date</t>
  </si>
  <si>
    <t xml:space="preserve">SOC2-F001</t>
  </si>
  <si>
    <t xml:space="preserve">2024 Q1</t>
  </si>
  <si>
    <t xml:space="preserve">Access recertification for 18 service accounts not completed within required quarterly window — 45-day overrun</t>
  </si>
  <si>
    <t xml:space="preserve">High</t>
  </si>
  <si>
    <t xml:space="preserve">No automated reminder for non-human accounts in quarterly review cycle</t>
  </si>
  <si>
    <t xml:space="preserve">Expand access review scope to include service accounts; automate reminders; complete overdue review by 15 Feb</t>
  </si>
  <si>
    <t xml:space="preserve">2024-02-15</t>
  </si>
  <si>
    <t xml:space="preserve">In Progress</t>
  </si>
  <si>
    <t xml:space="preserve">SOC2-F002</t>
  </si>
  <si>
    <t xml:space="preserve">14 medium-severity vulnerabilities open beyond 30-day SLA — oldest at 52 days</t>
  </si>
  <si>
    <t xml:space="preserve">Medium</t>
  </si>
  <si>
    <t xml:space="preserve">Manual tracking in spreadsheet; no automated escalation at SLA breach</t>
  </si>
  <si>
    <t xml:space="preserve">Deploy vulnerability management platform with automated SLA tracking; clear backlog within 30 days</t>
  </si>
  <si>
    <t xml:space="preserve">2024-02-28</t>
  </si>
  <si>
    <t xml:space="preserve">SOC2-F003</t>
  </si>
  <si>
    <t xml:space="preserve">3 emergency changes implemented without CAB approval; post-hoc approval only</t>
  </si>
  <si>
    <t xml:space="preserve">No emergency change procedure defined; informal process for P1 incidents</t>
  </si>
  <si>
    <t xml:space="preserve">Define emergency change procedure; train change managers; implement post-hoc review within 24 hours</t>
  </si>
  <si>
    <t xml:space="preserve">Change Mgmt</t>
  </si>
  <si>
    <t xml:space="preserve">Open</t>
  </si>
  <si>
    <t xml:space="preserve">SOC2-F004</t>
  </si>
  <si>
    <t xml:space="preserve">DSAR response average 38 days vs 30-day commitment; 4 DSARs overdue</t>
  </si>
  <si>
    <t xml:space="preserve">Manual DSAR tracking; no automated SLA alerting; resource constraint</t>
  </si>
  <si>
    <t xml:space="preserve">Implement DSAR management tool; set automated reminders at 20/25/30 days; hire privacy analyst</t>
  </si>
  <si>
    <t xml:space="preserve">Privacy Team</t>
  </si>
  <si>
    <t xml:space="preserve">2024-03-15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</si>
</sst>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4"/>
      <color rgb="FF00B050"/>
      <name val="Arial"/>
      <family val="0"/>
      <charset val="1"/>
    </font>
    <font>
      <b val="true"/>
      <sz val="14"/>
      <color rgb="FFFFC000"/>
      <name val="Arial"/>
      <family val="0"/>
      <charset val="1"/>
    </font>
    <font>
      <b val="true"/>
      <sz val="14"/>
      <color rgb="FFFF0000"/>
      <name val="Arial"/>
      <family val="0"/>
      <charset val="1"/>
    </font>
    <font>
      <b val="true"/>
      <sz val="14"/>
      <color rgb="FF808080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4332"/>
        <bgColor rgb="FF404040"/>
      </patternFill>
    </fill>
    <fill>
      <patternFill patternType="solid">
        <fgColor rgb="FF2D6A4F"/>
        <bgColor rgb="FF1B4332"/>
      </patternFill>
    </fill>
    <fill>
      <patternFill patternType="solid">
        <fgColor rgb="FFD8F3DC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n">
        <color rgb="FF95D5B2"/>
      </right>
      <top/>
      <bottom style="thin">
        <color rgb="FF95D5B2"/>
      </bottom>
      <diagonal/>
    </border>
    <border diagonalUp="false" diagonalDown="false">
      <left style="thin">
        <color rgb="FF95D5B2"/>
      </left>
      <right style="thin">
        <color rgb="FF95D5B2"/>
      </right>
      <top style="thin">
        <color rgb="FF95D5B2"/>
      </top>
      <bottom style="thin">
        <color rgb="FF95D5B2"/>
      </bottom>
      <diagonal/>
    </border>
    <border diagonalUp="false" diagonalDown="false">
      <left style="thin">
        <color rgb="FF95D5B2"/>
      </left>
      <right/>
      <top style="thin">
        <color rgb="FF95D5B2"/>
      </top>
      <bottom style="thin">
        <color rgb="FF95D5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3DC"/>
      <rgbColor rgb="FFFFFF99"/>
      <rgbColor rgb="FF95D5B2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1B4332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3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3" t="s">
        <v>2</v>
      </c>
      <c r="B4" s="3"/>
      <c r="C4" s="3" t="s">
        <v>3</v>
      </c>
      <c r="D4" s="3"/>
      <c r="E4" s="4"/>
      <c r="F4" s="4"/>
      <c r="G4" s="4"/>
      <c r="H4" s="4"/>
    </row>
    <row r="5" customFormat="false" ht="19.5" hidden="false" customHeight="true" outlineLevel="0" collapsed="false">
      <c r="A5" s="3" t="s">
        <v>4</v>
      </c>
      <c r="B5" s="3"/>
      <c r="C5" s="3" t="s">
        <v>5</v>
      </c>
      <c r="D5" s="3"/>
      <c r="E5" s="4"/>
      <c r="F5" s="4"/>
      <c r="G5" s="4"/>
      <c r="H5" s="4"/>
    </row>
    <row r="6" customFormat="false" ht="19.5" hidden="false" customHeight="true" outlineLevel="0" collapsed="false">
      <c r="A6" s="3" t="s">
        <v>6</v>
      </c>
      <c r="B6" s="3"/>
      <c r="C6" s="3" t="s">
        <v>7</v>
      </c>
      <c r="D6" s="3"/>
      <c r="E6" s="4"/>
      <c r="F6" s="4"/>
      <c r="G6" s="4"/>
      <c r="H6" s="4"/>
    </row>
    <row r="7" customFormat="false" ht="19.5" hidden="false" customHeight="true" outlineLevel="0" collapsed="false">
      <c r="A7" s="3" t="s">
        <v>8</v>
      </c>
      <c r="B7" s="3"/>
      <c r="C7" s="3" t="s">
        <v>9</v>
      </c>
      <c r="D7" s="3"/>
      <c r="E7" s="4"/>
      <c r="F7" s="4"/>
      <c r="G7" s="4"/>
      <c r="H7" s="4"/>
    </row>
    <row r="9" customFormat="false" ht="21.75" hidden="false" customHeight="true" outlineLevel="0" collapsed="false">
      <c r="A9" s="5" t="s">
        <v>10</v>
      </c>
      <c r="B9" s="5"/>
      <c r="C9" s="5"/>
      <c r="D9" s="5"/>
      <c r="E9" s="5"/>
      <c r="F9" s="5"/>
      <c r="G9" s="5"/>
      <c r="H9" s="5"/>
    </row>
    <row r="10" customFormat="false" ht="39.75" hidden="false" customHeight="true" outlineLevel="0" collapsed="false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15</v>
      </c>
      <c r="F10" s="6" t="s">
        <v>16</v>
      </c>
      <c r="G10" s="6" t="s">
        <v>17</v>
      </c>
      <c r="H10" s="6" t="s">
        <v>18</v>
      </c>
    </row>
    <row r="11" customFormat="false" ht="21.75" hidden="false" customHeight="true" outlineLevel="0" collapsed="false">
      <c r="A11" s="7" t="s">
        <v>19</v>
      </c>
      <c r="B11" s="8" t="s">
        <v>20</v>
      </c>
      <c r="C11" s="7" t="n">
        <v>93</v>
      </c>
      <c r="D11" s="7"/>
      <c r="E11" s="7"/>
      <c r="F11" s="7"/>
      <c r="G11" s="7"/>
      <c r="H11" s="9" t="n">
        <f aca="false">IF(C11=0,"",IFERROR((D11+0.5*E11)/C11,0))</f>
        <v>0</v>
      </c>
    </row>
    <row r="12" customFormat="false" ht="21.75" hidden="false" customHeight="true" outlineLevel="0" collapsed="false">
      <c r="A12" s="10" t="s">
        <v>21</v>
      </c>
      <c r="B12" s="11" t="s">
        <v>22</v>
      </c>
      <c r="C12" s="10" t="n">
        <v>7</v>
      </c>
      <c r="D12" s="10"/>
      <c r="E12" s="10"/>
      <c r="F12" s="10"/>
      <c r="G12" s="10"/>
      <c r="H12" s="12" t="n">
        <f aca="false">IF(C12=0,"",IFERROR((D12+0.5*E12)/C12,0))</f>
        <v>0</v>
      </c>
    </row>
    <row r="13" customFormat="false" ht="21.75" hidden="false" customHeight="true" outlineLevel="0" collapsed="false">
      <c r="A13" s="7" t="s">
        <v>23</v>
      </c>
      <c r="B13" s="8" t="s">
        <v>24</v>
      </c>
      <c r="C13" s="7" t="n">
        <v>13</v>
      </c>
      <c r="D13" s="7"/>
      <c r="E13" s="7"/>
      <c r="F13" s="7"/>
      <c r="G13" s="7"/>
      <c r="H13" s="9" t="n">
        <f aca="false">IF(C13=0,"",IFERROR((D13+0.5*E13)/C13,0))</f>
        <v>0</v>
      </c>
    </row>
    <row r="14" customFormat="false" ht="21.75" hidden="false" customHeight="true" outlineLevel="0" collapsed="false">
      <c r="A14" s="10" t="s">
        <v>25</v>
      </c>
      <c r="B14" s="11" t="s">
        <v>26</v>
      </c>
      <c r="C14" s="10" t="n">
        <v>4</v>
      </c>
      <c r="D14" s="10"/>
      <c r="E14" s="10"/>
      <c r="F14" s="10"/>
      <c r="G14" s="10"/>
      <c r="H14" s="12" t="n">
        <f aca="false">IF(C14=0,"",IFERROR((D14+0.5*E14)/C14,0))</f>
        <v>0</v>
      </c>
    </row>
    <row r="15" customFormat="false" ht="21.75" hidden="false" customHeight="true" outlineLevel="0" collapsed="false">
      <c r="A15" s="7" t="s">
        <v>27</v>
      </c>
      <c r="B15" s="8" t="s">
        <v>28</v>
      </c>
      <c r="C15" s="7" t="n">
        <v>22</v>
      </c>
      <c r="D15" s="7"/>
      <c r="E15" s="7"/>
      <c r="F15" s="7"/>
      <c r="G15" s="7"/>
      <c r="H15" s="9" t="n">
        <f aca="false">IF(C15=0,"",IFERROR((D15+0.5*E15)/C15,0))</f>
        <v>0</v>
      </c>
    </row>
    <row r="16" customFormat="false" ht="15" hidden="false" customHeight="true" outlineLevel="0" collapsed="false">
      <c r="A16" s="13" t="s">
        <v>29</v>
      </c>
      <c r="B16" s="13"/>
      <c r="C16" s="6" t="n">
        <f aca="false">SUM(C11:C15)</f>
        <v>139</v>
      </c>
      <c r="D16" s="6" t="n">
        <f aca="false">SUM(D11:D15)</f>
        <v>0</v>
      </c>
      <c r="E16" s="6" t="n">
        <f aca="false">SUM(E11:E15)</f>
        <v>0</v>
      </c>
      <c r="F16" s="6" t="n">
        <f aca="false">SUM(F11:F15)</f>
        <v>0</v>
      </c>
      <c r="G16" s="6" t="n">
        <f aca="false">SUM(G11:G15)</f>
        <v>0</v>
      </c>
      <c r="H16" s="14" t="n">
        <f aca="false">IFERROR((SUM(D11:D15)+0.5*SUM(E11:E15))/SUM(C11:C15),0)</f>
        <v>0</v>
      </c>
    </row>
    <row r="18" customFormat="false" ht="15" hidden="false" customHeight="true" outlineLevel="0" collapsed="false">
      <c r="A18" s="15" t="s">
        <v>30</v>
      </c>
      <c r="B18" s="15"/>
      <c r="C18" s="15"/>
      <c r="D18" s="15"/>
      <c r="E18" s="15"/>
      <c r="F18" s="15"/>
      <c r="G18" s="15"/>
      <c r="H18" s="15"/>
    </row>
    <row r="19" customFormat="false" ht="17.35" hidden="false" customHeight="true" outlineLevel="0" collapsed="false">
      <c r="A19" s="16" t="s">
        <v>31</v>
      </c>
      <c r="B19" s="17" t="s">
        <v>14</v>
      </c>
      <c r="C19" s="18" t="s">
        <v>32</v>
      </c>
      <c r="D19" s="18"/>
      <c r="E19" s="18"/>
      <c r="F19" s="18"/>
      <c r="G19" s="18"/>
      <c r="H19" s="18"/>
    </row>
    <row r="20" customFormat="false" ht="17.35" hidden="false" customHeight="true" outlineLevel="0" collapsed="false">
      <c r="A20" s="19" t="s">
        <v>31</v>
      </c>
      <c r="B20" s="17" t="s">
        <v>15</v>
      </c>
      <c r="C20" s="18" t="s">
        <v>33</v>
      </c>
      <c r="D20" s="18"/>
      <c r="E20" s="18"/>
      <c r="F20" s="18"/>
      <c r="G20" s="18"/>
      <c r="H20" s="18"/>
    </row>
    <row r="21" customFormat="false" ht="17.35" hidden="false" customHeight="true" outlineLevel="0" collapsed="false">
      <c r="A21" s="20" t="s">
        <v>31</v>
      </c>
      <c r="B21" s="17" t="s">
        <v>16</v>
      </c>
      <c r="C21" s="18" t="s">
        <v>34</v>
      </c>
      <c r="D21" s="18"/>
      <c r="E21" s="18"/>
      <c r="F21" s="18"/>
      <c r="G21" s="18"/>
      <c r="H21" s="18"/>
    </row>
    <row r="22" customFormat="false" ht="17.35" hidden="false" customHeight="true" outlineLevel="0" collapsed="false">
      <c r="A22" s="21" t="s">
        <v>31</v>
      </c>
      <c r="B22" s="17" t="s">
        <v>17</v>
      </c>
      <c r="C22" s="18" t="s">
        <v>35</v>
      </c>
      <c r="D22" s="18"/>
      <c r="E22" s="18"/>
      <c r="F22" s="18"/>
      <c r="G22" s="18"/>
      <c r="H22" s="18"/>
    </row>
    <row r="23" customFormat="false" ht="17.35" hidden="false" customHeight="true" outlineLevel="0" collapsed="false">
      <c r="A23" s="22" t="s">
        <v>31</v>
      </c>
      <c r="B23" s="17" t="s">
        <v>36</v>
      </c>
      <c r="C23" s="18" t="s">
        <v>37</v>
      </c>
      <c r="D23" s="18"/>
      <c r="E23" s="18"/>
      <c r="F23" s="18"/>
      <c r="G23" s="18"/>
      <c r="H23" s="18"/>
    </row>
  </sheetData>
  <mergeCells count="26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D7"/>
    <mergeCell ref="E7:F7"/>
    <mergeCell ref="G7:H7"/>
    <mergeCell ref="A9:H9"/>
    <mergeCell ref="A16:B16"/>
    <mergeCell ref="A18:H18"/>
    <mergeCell ref="C19:H19"/>
    <mergeCell ref="C20:H20"/>
    <mergeCell ref="C21:H21"/>
    <mergeCell ref="C22:H22"/>
    <mergeCell ref="C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42"/>
    <col collapsed="false" customWidth="true" hidden="false" outlineLevel="0" max="5" min="4" style="0" width="18"/>
    <col collapsed="false" customWidth="true" hidden="false" outlineLevel="0" max="6" min="6" style="0" width="28"/>
    <col collapsed="false" customWidth="true" hidden="false" outlineLevel="0" max="7" min="7" style="0" width="32"/>
    <col collapsed="false" customWidth="true" hidden="false" outlineLevel="0" max="9" min="8" style="0" width="28"/>
  </cols>
  <sheetData>
    <row r="1" customFormat="false" ht="27.75" hidden="false" customHeight="true" outlineLevel="0" collapsed="false">
      <c r="A1" s="23" t="s">
        <v>38</v>
      </c>
      <c r="B1" s="23"/>
      <c r="C1" s="23"/>
      <c r="D1" s="23"/>
      <c r="E1" s="23"/>
      <c r="F1" s="23"/>
      <c r="G1" s="23"/>
      <c r="H1" s="23"/>
      <c r="I1" s="23"/>
    </row>
    <row r="2" customFormat="false" ht="39.75" hidden="false" customHeight="true" outlineLevel="0" collapsed="false">
      <c r="A2" s="6" t="s">
        <v>39</v>
      </c>
      <c r="B2" s="6" t="s">
        <v>40</v>
      </c>
      <c r="C2" s="6" t="s">
        <v>41</v>
      </c>
      <c r="D2" s="6" t="s">
        <v>42</v>
      </c>
      <c r="E2" s="6" t="s">
        <v>43</v>
      </c>
      <c r="F2" s="6" t="s">
        <v>44</v>
      </c>
      <c r="G2" s="6" t="s">
        <v>45</v>
      </c>
      <c r="H2" s="6" t="s">
        <v>46</v>
      </c>
      <c r="I2" s="6" t="s">
        <v>47</v>
      </c>
    </row>
    <row r="3" customFormat="false" ht="19.5" hidden="false" customHeight="true" outlineLevel="0" collapsed="false">
      <c r="A3" s="24" t="s">
        <v>48</v>
      </c>
      <c r="B3" s="24"/>
      <c r="C3" s="24"/>
      <c r="D3" s="24"/>
      <c r="E3" s="24"/>
      <c r="F3" s="24"/>
      <c r="G3" s="24"/>
      <c r="H3" s="24"/>
      <c r="I3" s="24"/>
    </row>
    <row r="4" customFormat="false" ht="48" hidden="false" customHeight="true" outlineLevel="0" collapsed="false">
      <c r="A4" s="25" t="s">
        <v>49</v>
      </c>
      <c r="B4" s="11" t="s">
        <v>50</v>
      </c>
      <c r="C4" s="26" t="s">
        <v>51</v>
      </c>
      <c r="D4" s="10" t="s">
        <v>36</v>
      </c>
      <c r="E4" s="10"/>
      <c r="F4" s="26"/>
      <c r="G4" s="26"/>
      <c r="H4" s="26"/>
      <c r="I4" s="26"/>
    </row>
    <row r="5" customFormat="false" ht="48" hidden="false" customHeight="true" outlineLevel="0" collapsed="false">
      <c r="A5" s="27" t="s">
        <v>52</v>
      </c>
      <c r="B5" s="8" t="s">
        <v>53</v>
      </c>
      <c r="C5" s="28" t="s">
        <v>54</v>
      </c>
      <c r="D5" s="7" t="s">
        <v>36</v>
      </c>
      <c r="E5" s="7"/>
      <c r="F5" s="28"/>
      <c r="G5" s="28"/>
      <c r="H5" s="28"/>
      <c r="I5" s="28"/>
    </row>
    <row r="6" customFormat="false" ht="48" hidden="false" customHeight="true" outlineLevel="0" collapsed="false">
      <c r="A6" s="25" t="s">
        <v>55</v>
      </c>
      <c r="B6" s="11" t="s">
        <v>56</v>
      </c>
      <c r="C6" s="26" t="s">
        <v>57</v>
      </c>
      <c r="D6" s="10" t="s">
        <v>36</v>
      </c>
      <c r="E6" s="10"/>
      <c r="F6" s="26"/>
      <c r="G6" s="26"/>
      <c r="H6" s="26"/>
      <c r="I6" s="26"/>
    </row>
    <row r="7" customFormat="false" ht="48" hidden="false" customHeight="true" outlineLevel="0" collapsed="false">
      <c r="A7" s="27" t="s">
        <v>58</v>
      </c>
      <c r="B7" s="8" t="s">
        <v>59</v>
      </c>
      <c r="C7" s="28" t="s">
        <v>60</v>
      </c>
      <c r="D7" s="7" t="s">
        <v>36</v>
      </c>
      <c r="E7" s="7"/>
      <c r="F7" s="28"/>
      <c r="G7" s="28"/>
      <c r="H7" s="28"/>
      <c r="I7" s="28"/>
    </row>
    <row r="8" customFormat="false" ht="48" hidden="false" customHeight="true" outlineLevel="0" collapsed="false">
      <c r="A8" s="25" t="s">
        <v>61</v>
      </c>
      <c r="B8" s="11" t="s">
        <v>62</v>
      </c>
      <c r="C8" s="26" t="s">
        <v>63</v>
      </c>
      <c r="D8" s="10" t="s">
        <v>36</v>
      </c>
      <c r="E8" s="10"/>
      <c r="F8" s="26"/>
      <c r="G8" s="26"/>
      <c r="H8" s="26"/>
      <c r="I8" s="26"/>
    </row>
    <row r="9" customFormat="false" ht="19.5" hidden="false" customHeight="true" outlineLevel="0" collapsed="false">
      <c r="A9" s="24" t="s">
        <v>64</v>
      </c>
      <c r="B9" s="24"/>
      <c r="C9" s="24"/>
      <c r="D9" s="24"/>
      <c r="E9" s="24"/>
      <c r="F9" s="24"/>
      <c r="G9" s="24"/>
      <c r="H9" s="24"/>
      <c r="I9" s="24"/>
    </row>
    <row r="10" customFormat="false" ht="48" hidden="false" customHeight="true" outlineLevel="0" collapsed="false">
      <c r="A10" s="25" t="s">
        <v>65</v>
      </c>
      <c r="B10" s="11" t="s">
        <v>66</v>
      </c>
      <c r="C10" s="26" t="s">
        <v>67</v>
      </c>
      <c r="D10" s="10" t="s">
        <v>36</v>
      </c>
      <c r="E10" s="10"/>
      <c r="F10" s="26"/>
      <c r="G10" s="26"/>
      <c r="H10" s="26"/>
      <c r="I10" s="26"/>
    </row>
    <row r="11" customFormat="false" ht="48" hidden="false" customHeight="true" outlineLevel="0" collapsed="false">
      <c r="A11" s="27" t="s">
        <v>68</v>
      </c>
      <c r="B11" s="8" t="s">
        <v>69</v>
      </c>
      <c r="C11" s="28" t="s">
        <v>70</v>
      </c>
      <c r="D11" s="7" t="s">
        <v>36</v>
      </c>
      <c r="E11" s="7"/>
      <c r="F11" s="28"/>
      <c r="G11" s="28"/>
      <c r="H11" s="28"/>
      <c r="I11" s="28"/>
    </row>
    <row r="12" customFormat="false" ht="48" hidden="false" customHeight="true" outlineLevel="0" collapsed="false">
      <c r="A12" s="25" t="s">
        <v>71</v>
      </c>
      <c r="B12" s="11" t="s">
        <v>72</v>
      </c>
      <c r="C12" s="26" t="s">
        <v>73</v>
      </c>
      <c r="D12" s="10" t="s">
        <v>36</v>
      </c>
      <c r="E12" s="10"/>
      <c r="F12" s="26"/>
      <c r="G12" s="26"/>
      <c r="H12" s="26"/>
      <c r="I12" s="26"/>
    </row>
    <row r="13" customFormat="false" ht="19.5" hidden="false" customHeight="true" outlineLevel="0" collapsed="false">
      <c r="A13" s="24" t="s">
        <v>74</v>
      </c>
      <c r="B13" s="24"/>
      <c r="C13" s="24"/>
      <c r="D13" s="24"/>
      <c r="E13" s="24"/>
      <c r="F13" s="24"/>
      <c r="G13" s="24"/>
      <c r="H13" s="24"/>
      <c r="I13" s="24"/>
    </row>
    <row r="14" customFormat="false" ht="48" hidden="false" customHeight="true" outlineLevel="0" collapsed="false">
      <c r="A14" s="25" t="s">
        <v>75</v>
      </c>
      <c r="B14" s="11" t="s">
        <v>76</v>
      </c>
      <c r="C14" s="26" t="s">
        <v>77</v>
      </c>
      <c r="D14" s="10" t="s">
        <v>36</v>
      </c>
      <c r="E14" s="10"/>
      <c r="F14" s="26"/>
      <c r="G14" s="26"/>
      <c r="H14" s="26"/>
      <c r="I14" s="26"/>
    </row>
    <row r="15" customFormat="false" ht="48" hidden="false" customHeight="true" outlineLevel="0" collapsed="false">
      <c r="A15" s="27" t="s">
        <v>78</v>
      </c>
      <c r="B15" s="8" t="s">
        <v>79</v>
      </c>
      <c r="C15" s="28" t="s">
        <v>80</v>
      </c>
      <c r="D15" s="7" t="s">
        <v>36</v>
      </c>
      <c r="E15" s="7"/>
      <c r="F15" s="28"/>
      <c r="G15" s="28"/>
      <c r="H15" s="28"/>
      <c r="I15" s="28"/>
    </row>
    <row r="16" customFormat="false" ht="48" hidden="false" customHeight="true" outlineLevel="0" collapsed="false">
      <c r="A16" s="25" t="s">
        <v>81</v>
      </c>
      <c r="B16" s="11" t="s">
        <v>82</v>
      </c>
      <c r="C16" s="26" t="s">
        <v>83</v>
      </c>
      <c r="D16" s="10" t="s">
        <v>36</v>
      </c>
      <c r="E16" s="10"/>
      <c r="F16" s="26"/>
      <c r="G16" s="26"/>
      <c r="H16" s="26"/>
      <c r="I16" s="26"/>
    </row>
    <row r="17" customFormat="false" ht="48" hidden="false" customHeight="true" outlineLevel="0" collapsed="false">
      <c r="A17" s="27" t="s">
        <v>84</v>
      </c>
      <c r="B17" s="8" t="s">
        <v>85</v>
      </c>
      <c r="C17" s="28" t="s">
        <v>86</v>
      </c>
      <c r="D17" s="7" t="s">
        <v>36</v>
      </c>
      <c r="E17" s="7"/>
      <c r="F17" s="28"/>
      <c r="G17" s="28"/>
      <c r="H17" s="28"/>
      <c r="I17" s="28"/>
    </row>
    <row r="18" customFormat="false" ht="19.5" hidden="false" customHeight="true" outlineLevel="0" collapsed="false">
      <c r="A18" s="24" t="s">
        <v>87</v>
      </c>
      <c r="B18" s="24"/>
      <c r="C18" s="24"/>
      <c r="D18" s="24"/>
      <c r="E18" s="24"/>
      <c r="F18" s="24"/>
      <c r="G18" s="24"/>
      <c r="H18" s="24"/>
      <c r="I18" s="24"/>
    </row>
    <row r="19" customFormat="false" ht="48" hidden="false" customHeight="true" outlineLevel="0" collapsed="false">
      <c r="A19" s="27" t="s">
        <v>88</v>
      </c>
      <c r="B19" s="8" t="s">
        <v>89</v>
      </c>
      <c r="C19" s="28" t="s">
        <v>90</v>
      </c>
      <c r="D19" s="7" t="s">
        <v>36</v>
      </c>
      <c r="E19" s="7"/>
      <c r="F19" s="28"/>
      <c r="G19" s="28"/>
      <c r="H19" s="28"/>
      <c r="I19" s="28"/>
    </row>
    <row r="20" customFormat="false" ht="48" hidden="false" customHeight="true" outlineLevel="0" collapsed="false">
      <c r="A20" s="25" t="s">
        <v>91</v>
      </c>
      <c r="B20" s="11" t="s">
        <v>92</v>
      </c>
      <c r="C20" s="26" t="s">
        <v>93</v>
      </c>
      <c r="D20" s="10" t="s">
        <v>36</v>
      </c>
      <c r="E20" s="10"/>
      <c r="F20" s="26"/>
      <c r="G20" s="26"/>
      <c r="H20" s="26"/>
      <c r="I20" s="26"/>
    </row>
    <row r="21" customFormat="false" ht="19.5" hidden="false" customHeight="true" outlineLevel="0" collapsed="false">
      <c r="A21" s="24" t="s">
        <v>94</v>
      </c>
      <c r="B21" s="24"/>
      <c r="C21" s="24"/>
      <c r="D21" s="24"/>
      <c r="E21" s="24"/>
      <c r="F21" s="24"/>
      <c r="G21" s="24"/>
      <c r="H21" s="24"/>
      <c r="I21" s="24"/>
    </row>
    <row r="22" customFormat="false" ht="48" hidden="false" customHeight="true" outlineLevel="0" collapsed="false">
      <c r="A22" s="25" t="s">
        <v>95</v>
      </c>
      <c r="B22" s="11" t="s">
        <v>96</v>
      </c>
      <c r="C22" s="26" t="s">
        <v>97</v>
      </c>
      <c r="D22" s="10" t="s">
        <v>36</v>
      </c>
      <c r="E22" s="10"/>
      <c r="F22" s="26"/>
      <c r="G22" s="26"/>
      <c r="H22" s="26"/>
      <c r="I22" s="26"/>
    </row>
    <row r="23" customFormat="false" ht="48" hidden="false" customHeight="true" outlineLevel="0" collapsed="false">
      <c r="A23" s="27" t="s">
        <v>98</v>
      </c>
      <c r="B23" s="8" t="s">
        <v>99</v>
      </c>
      <c r="C23" s="28" t="s">
        <v>100</v>
      </c>
      <c r="D23" s="7" t="s">
        <v>36</v>
      </c>
      <c r="E23" s="7"/>
      <c r="F23" s="28"/>
      <c r="G23" s="28"/>
      <c r="H23" s="28"/>
      <c r="I23" s="28"/>
    </row>
    <row r="24" customFormat="false" ht="48" hidden="false" customHeight="true" outlineLevel="0" collapsed="false">
      <c r="A24" s="25" t="s">
        <v>101</v>
      </c>
      <c r="B24" s="11" t="s">
        <v>102</v>
      </c>
      <c r="C24" s="26" t="s">
        <v>103</v>
      </c>
      <c r="D24" s="10" t="s">
        <v>36</v>
      </c>
      <c r="E24" s="10"/>
      <c r="F24" s="26"/>
      <c r="G24" s="26"/>
      <c r="H24" s="26"/>
      <c r="I24" s="26"/>
    </row>
    <row r="25" customFormat="false" ht="19.5" hidden="false" customHeight="true" outlineLevel="0" collapsed="false">
      <c r="A25" s="24" t="s">
        <v>104</v>
      </c>
      <c r="B25" s="24"/>
      <c r="C25" s="24"/>
      <c r="D25" s="24"/>
      <c r="E25" s="24"/>
      <c r="F25" s="24"/>
      <c r="G25" s="24"/>
      <c r="H25" s="24"/>
      <c r="I25" s="24"/>
    </row>
    <row r="26" customFormat="false" ht="48" hidden="false" customHeight="true" outlineLevel="0" collapsed="false">
      <c r="A26" s="25" t="s">
        <v>105</v>
      </c>
      <c r="B26" s="11" t="s">
        <v>106</v>
      </c>
      <c r="C26" s="26" t="s">
        <v>107</v>
      </c>
      <c r="D26" s="10" t="s">
        <v>36</v>
      </c>
      <c r="E26" s="10"/>
      <c r="F26" s="26"/>
      <c r="G26" s="26"/>
      <c r="H26" s="26"/>
      <c r="I26" s="26"/>
    </row>
    <row r="27" customFormat="false" ht="48" hidden="false" customHeight="true" outlineLevel="0" collapsed="false">
      <c r="A27" s="27" t="s">
        <v>108</v>
      </c>
      <c r="B27" s="8" t="s">
        <v>109</v>
      </c>
      <c r="C27" s="28" t="s">
        <v>110</v>
      </c>
      <c r="D27" s="7" t="s">
        <v>36</v>
      </c>
      <c r="E27" s="7"/>
      <c r="F27" s="28"/>
      <c r="G27" s="28"/>
      <c r="H27" s="28"/>
      <c r="I27" s="28"/>
    </row>
    <row r="28" customFormat="false" ht="48" hidden="false" customHeight="true" outlineLevel="0" collapsed="false">
      <c r="A28" s="25" t="s">
        <v>111</v>
      </c>
      <c r="B28" s="11" t="s">
        <v>112</v>
      </c>
      <c r="C28" s="26" t="s">
        <v>113</v>
      </c>
      <c r="D28" s="10" t="s">
        <v>36</v>
      </c>
      <c r="E28" s="10"/>
      <c r="F28" s="26"/>
      <c r="G28" s="26"/>
      <c r="H28" s="26"/>
      <c r="I28" s="26"/>
    </row>
    <row r="29" customFormat="false" ht="48" hidden="false" customHeight="true" outlineLevel="0" collapsed="false">
      <c r="A29" s="27" t="s">
        <v>114</v>
      </c>
      <c r="B29" s="8" t="s">
        <v>115</v>
      </c>
      <c r="C29" s="28" t="s">
        <v>116</v>
      </c>
      <c r="D29" s="7" t="s">
        <v>36</v>
      </c>
      <c r="E29" s="7"/>
      <c r="F29" s="28"/>
      <c r="G29" s="28"/>
      <c r="H29" s="28"/>
      <c r="I29" s="28"/>
    </row>
    <row r="30" customFormat="false" ht="48" hidden="false" customHeight="true" outlineLevel="0" collapsed="false">
      <c r="A30" s="25" t="s">
        <v>117</v>
      </c>
      <c r="B30" s="11" t="s">
        <v>118</v>
      </c>
      <c r="C30" s="26" t="s">
        <v>119</v>
      </c>
      <c r="D30" s="10" t="s">
        <v>36</v>
      </c>
      <c r="E30" s="10"/>
      <c r="F30" s="26"/>
      <c r="G30" s="26"/>
      <c r="H30" s="26"/>
      <c r="I30" s="26"/>
    </row>
    <row r="31" customFormat="false" ht="48" hidden="false" customHeight="true" outlineLevel="0" collapsed="false">
      <c r="A31" s="27" t="s">
        <v>120</v>
      </c>
      <c r="B31" s="8" t="s">
        <v>121</v>
      </c>
      <c r="C31" s="28" t="s">
        <v>122</v>
      </c>
      <c r="D31" s="7" t="s">
        <v>36</v>
      </c>
      <c r="E31" s="7"/>
      <c r="F31" s="28"/>
      <c r="G31" s="28"/>
      <c r="H31" s="28"/>
      <c r="I31" s="28"/>
    </row>
    <row r="32" customFormat="false" ht="48" hidden="false" customHeight="true" outlineLevel="0" collapsed="false">
      <c r="A32" s="25" t="s">
        <v>123</v>
      </c>
      <c r="B32" s="11" t="s">
        <v>124</v>
      </c>
      <c r="C32" s="26" t="s">
        <v>125</v>
      </c>
      <c r="D32" s="10" t="s">
        <v>36</v>
      </c>
      <c r="E32" s="10"/>
      <c r="F32" s="26"/>
      <c r="G32" s="26"/>
      <c r="H32" s="26"/>
      <c r="I32" s="26"/>
    </row>
    <row r="33" customFormat="false" ht="48" hidden="false" customHeight="true" outlineLevel="0" collapsed="false">
      <c r="A33" s="27" t="s">
        <v>126</v>
      </c>
      <c r="B33" s="8" t="s">
        <v>127</v>
      </c>
      <c r="C33" s="28" t="s">
        <v>128</v>
      </c>
      <c r="D33" s="7" t="s">
        <v>36</v>
      </c>
      <c r="E33" s="7"/>
      <c r="F33" s="28"/>
      <c r="G33" s="28"/>
      <c r="H33" s="28"/>
      <c r="I33" s="28"/>
    </row>
    <row r="34" customFormat="false" ht="19.5" hidden="false" customHeight="true" outlineLevel="0" collapsed="false">
      <c r="A34" s="24" t="s">
        <v>129</v>
      </c>
      <c r="B34" s="24"/>
      <c r="C34" s="24"/>
      <c r="D34" s="24"/>
      <c r="E34" s="24"/>
      <c r="F34" s="24"/>
      <c r="G34" s="24"/>
      <c r="H34" s="24"/>
      <c r="I34" s="24"/>
    </row>
    <row r="35" customFormat="false" ht="48" hidden="false" customHeight="true" outlineLevel="0" collapsed="false">
      <c r="A35" s="27" t="s">
        <v>130</v>
      </c>
      <c r="B35" s="8" t="s">
        <v>131</v>
      </c>
      <c r="C35" s="28" t="s">
        <v>132</v>
      </c>
      <c r="D35" s="7" t="s">
        <v>36</v>
      </c>
      <c r="E35" s="7"/>
      <c r="F35" s="28"/>
      <c r="G35" s="28"/>
      <c r="H35" s="28"/>
      <c r="I35" s="28"/>
    </row>
    <row r="36" customFormat="false" ht="48" hidden="false" customHeight="true" outlineLevel="0" collapsed="false">
      <c r="A36" s="25" t="s">
        <v>133</v>
      </c>
      <c r="B36" s="11" t="s">
        <v>134</v>
      </c>
      <c r="C36" s="26" t="s">
        <v>135</v>
      </c>
      <c r="D36" s="10" t="s">
        <v>36</v>
      </c>
      <c r="E36" s="10"/>
      <c r="F36" s="26"/>
      <c r="G36" s="26"/>
      <c r="H36" s="26"/>
      <c r="I36" s="26"/>
    </row>
    <row r="37" customFormat="false" ht="48" hidden="false" customHeight="true" outlineLevel="0" collapsed="false">
      <c r="A37" s="27" t="s">
        <v>136</v>
      </c>
      <c r="B37" s="8" t="s">
        <v>137</v>
      </c>
      <c r="C37" s="28" t="s">
        <v>138</v>
      </c>
      <c r="D37" s="7" t="s">
        <v>36</v>
      </c>
      <c r="E37" s="7"/>
      <c r="F37" s="28"/>
      <c r="G37" s="28"/>
      <c r="H37" s="28"/>
      <c r="I37" s="28"/>
    </row>
    <row r="38" customFormat="false" ht="48" hidden="false" customHeight="true" outlineLevel="0" collapsed="false">
      <c r="A38" s="25" t="s">
        <v>139</v>
      </c>
      <c r="B38" s="11" t="s">
        <v>140</v>
      </c>
      <c r="C38" s="26" t="s">
        <v>141</v>
      </c>
      <c r="D38" s="10" t="s">
        <v>36</v>
      </c>
      <c r="E38" s="10"/>
      <c r="F38" s="26"/>
      <c r="G38" s="26"/>
      <c r="H38" s="26"/>
      <c r="I38" s="26"/>
    </row>
    <row r="39" customFormat="false" ht="48" hidden="false" customHeight="true" outlineLevel="0" collapsed="false">
      <c r="A39" s="27" t="s">
        <v>142</v>
      </c>
      <c r="B39" s="8" t="s">
        <v>143</v>
      </c>
      <c r="C39" s="28" t="s">
        <v>144</v>
      </c>
      <c r="D39" s="7" t="s">
        <v>36</v>
      </c>
      <c r="E39" s="7"/>
      <c r="F39" s="28"/>
      <c r="G39" s="28"/>
      <c r="H39" s="28"/>
      <c r="I39" s="28"/>
    </row>
    <row r="40" customFormat="false" ht="19.5" hidden="false" customHeight="true" outlineLevel="0" collapsed="false">
      <c r="A40" s="24" t="s">
        <v>145</v>
      </c>
      <c r="B40" s="24"/>
      <c r="C40" s="24"/>
      <c r="D40" s="24"/>
      <c r="E40" s="24"/>
      <c r="F40" s="24"/>
      <c r="G40" s="24"/>
      <c r="H40" s="24"/>
      <c r="I40" s="24"/>
    </row>
    <row r="41" customFormat="false" ht="48" hidden="false" customHeight="true" outlineLevel="0" collapsed="false">
      <c r="A41" s="27" t="s">
        <v>146</v>
      </c>
      <c r="B41" s="8" t="s">
        <v>147</v>
      </c>
      <c r="C41" s="28" t="s">
        <v>148</v>
      </c>
      <c r="D41" s="7" t="s">
        <v>36</v>
      </c>
      <c r="E41" s="7"/>
      <c r="F41" s="28"/>
      <c r="G41" s="28"/>
      <c r="H41" s="28"/>
      <c r="I41" s="28"/>
    </row>
    <row r="42" customFormat="false" ht="19.5" hidden="false" customHeight="true" outlineLevel="0" collapsed="false">
      <c r="A42" s="24" t="s">
        <v>149</v>
      </c>
      <c r="B42" s="24"/>
      <c r="C42" s="24"/>
      <c r="D42" s="24"/>
      <c r="E42" s="24"/>
      <c r="F42" s="24"/>
      <c r="G42" s="24"/>
      <c r="H42" s="24"/>
      <c r="I42" s="24"/>
    </row>
    <row r="43" customFormat="false" ht="48" hidden="false" customHeight="true" outlineLevel="0" collapsed="false">
      <c r="A43" s="27" t="s">
        <v>150</v>
      </c>
      <c r="B43" s="8" t="s">
        <v>151</v>
      </c>
      <c r="C43" s="28" t="s">
        <v>152</v>
      </c>
      <c r="D43" s="7" t="s">
        <v>36</v>
      </c>
      <c r="E43" s="7"/>
      <c r="F43" s="28"/>
      <c r="G43" s="28"/>
      <c r="H43" s="28"/>
      <c r="I43" s="28"/>
    </row>
    <row r="44" customFormat="false" ht="48" hidden="false" customHeight="true" outlineLevel="0" collapsed="false">
      <c r="A44" s="25" t="s">
        <v>153</v>
      </c>
      <c r="B44" s="11" t="s">
        <v>154</v>
      </c>
      <c r="C44" s="26" t="s">
        <v>155</v>
      </c>
      <c r="D44" s="10" t="s">
        <v>36</v>
      </c>
      <c r="E44" s="10"/>
      <c r="F44" s="26"/>
      <c r="G44" s="26"/>
      <c r="H44" s="26"/>
      <c r="I44" s="26"/>
    </row>
  </sheetData>
  <mergeCells count="10">
    <mergeCell ref="A1:I1"/>
    <mergeCell ref="A3:I3"/>
    <mergeCell ref="A9:I9"/>
    <mergeCell ref="A13:I13"/>
    <mergeCell ref="A18:I18"/>
    <mergeCell ref="A21:I21"/>
    <mergeCell ref="A25:I25"/>
    <mergeCell ref="A34:I34"/>
    <mergeCell ref="A40:I40"/>
    <mergeCell ref="A42:I42"/>
  </mergeCells>
  <dataValidations count="1">
    <dataValidation allowBlank="true" errorStyle="stop" operator="between" showDropDown="false" showErrorMessage="false" showInputMessage="false" sqref="D4:D8 D10:D12 D14:D17 D19:D20 D22:D24 D26:D33 D35:D39 D41 D43:D44" type="list">
      <formula1>"Not Assessed,Met,Partially Met,Not Met,Not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42"/>
    <col collapsed="false" customWidth="true" hidden="false" outlineLevel="0" max="5" min="4" style="0" width="18"/>
    <col collapsed="false" customWidth="true" hidden="false" outlineLevel="0" max="6" min="6" style="0" width="28"/>
    <col collapsed="false" customWidth="true" hidden="false" outlineLevel="0" max="7" min="7" style="0" width="32"/>
    <col collapsed="false" customWidth="true" hidden="false" outlineLevel="0" max="9" min="8" style="0" width="28"/>
  </cols>
  <sheetData>
    <row r="1" customFormat="false" ht="27.75" hidden="false" customHeight="true" outlineLevel="0" collapsed="false">
      <c r="A1" s="23" t="s">
        <v>156</v>
      </c>
      <c r="B1" s="23"/>
      <c r="C1" s="23"/>
      <c r="D1" s="23"/>
      <c r="E1" s="23"/>
      <c r="F1" s="23"/>
      <c r="G1" s="23"/>
      <c r="H1" s="23"/>
      <c r="I1" s="23"/>
    </row>
    <row r="2" customFormat="false" ht="39.75" hidden="false" customHeight="true" outlineLevel="0" collapsed="false">
      <c r="A2" s="6" t="s">
        <v>39</v>
      </c>
      <c r="B2" s="6" t="s">
        <v>40</v>
      </c>
      <c r="C2" s="6" t="s">
        <v>41</v>
      </c>
      <c r="D2" s="6" t="s">
        <v>42</v>
      </c>
      <c r="E2" s="6" t="s">
        <v>43</v>
      </c>
      <c r="F2" s="6" t="s">
        <v>44</v>
      </c>
      <c r="G2" s="6" t="s">
        <v>45</v>
      </c>
      <c r="H2" s="6" t="s">
        <v>46</v>
      </c>
      <c r="I2" s="6" t="s">
        <v>47</v>
      </c>
    </row>
    <row r="3" customFormat="false" ht="19.5" hidden="false" customHeight="true" outlineLevel="0" collapsed="false">
      <c r="A3" s="24" t="s">
        <v>157</v>
      </c>
      <c r="B3" s="24"/>
      <c r="C3" s="24"/>
      <c r="D3" s="24"/>
      <c r="E3" s="24"/>
      <c r="F3" s="24"/>
      <c r="G3" s="24"/>
      <c r="H3" s="24"/>
      <c r="I3" s="24"/>
    </row>
    <row r="4" customFormat="false" ht="48" hidden="false" customHeight="true" outlineLevel="0" collapsed="false">
      <c r="A4" s="25" t="s">
        <v>158</v>
      </c>
      <c r="B4" s="11" t="s">
        <v>159</v>
      </c>
      <c r="C4" s="26" t="s">
        <v>160</v>
      </c>
      <c r="D4" s="10" t="s">
        <v>36</v>
      </c>
      <c r="E4" s="10"/>
      <c r="F4" s="26"/>
      <c r="G4" s="26"/>
      <c r="H4" s="26"/>
      <c r="I4" s="26"/>
    </row>
    <row r="5" customFormat="false" ht="48" hidden="false" customHeight="true" outlineLevel="0" collapsed="false">
      <c r="A5" s="27" t="s">
        <v>161</v>
      </c>
      <c r="B5" s="8" t="s">
        <v>162</v>
      </c>
      <c r="C5" s="28" t="s">
        <v>163</v>
      </c>
      <c r="D5" s="7" t="s">
        <v>36</v>
      </c>
      <c r="E5" s="7"/>
      <c r="F5" s="28"/>
      <c r="G5" s="28"/>
      <c r="H5" s="28"/>
      <c r="I5" s="28"/>
    </row>
    <row r="6" customFormat="false" ht="48" hidden="false" customHeight="true" outlineLevel="0" collapsed="false">
      <c r="A6" s="25" t="s">
        <v>164</v>
      </c>
      <c r="B6" s="11" t="s">
        <v>165</v>
      </c>
      <c r="C6" s="26" t="s">
        <v>166</v>
      </c>
      <c r="D6" s="10" t="s">
        <v>36</v>
      </c>
      <c r="E6" s="10"/>
      <c r="F6" s="26"/>
      <c r="G6" s="26"/>
      <c r="H6" s="26"/>
      <c r="I6" s="26"/>
    </row>
    <row r="7" customFormat="false" ht="48" hidden="false" customHeight="true" outlineLevel="0" collapsed="false">
      <c r="A7" s="27" t="s">
        <v>167</v>
      </c>
      <c r="B7" s="8" t="s">
        <v>168</v>
      </c>
      <c r="C7" s="28" t="s">
        <v>169</v>
      </c>
      <c r="D7" s="7" t="s">
        <v>36</v>
      </c>
      <c r="E7" s="7"/>
      <c r="F7" s="28"/>
      <c r="G7" s="28"/>
      <c r="H7" s="28"/>
      <c r="I7" s="28"/>
    </row>
    <row r="8" customFormat="false" ht="48" hidden="false" customHeight="true" outlineLevel="0" collapsed="false">
      <c r="A8" s="25" t="s">
        <v>170</v>
      </c>
      <c r="B8" s="11" t="s">
        <v>171</v>
      </c>
      <c r="C8" s="26" t="s">
        <v>172</v>
      </c>
      <c r="D8" s="10" t="s">
        <v>36</v>
      </c>
      <c r="E8" s="10"/>
      <c r="F8" s="26"/>
      <c r="G8" s="26"/>
      <c r="H8" s="26"/>
      <c r="I8" s="26"/>
    </row>
    <row r="9" customFormat="false" ht="48" hidden="false" customHeight="true" outlineLevel="0" collapsed="false">
      <c r="A9" s="27" t="s">
        <v>173</v>
      </c>
      <c r="B9" s="8" t="s">
        <v>174</v>
      </c>
      <c r="C9" s="28" t="s">
        <v>175</v>
      </c>
      <c r="D9" s="7" t="s">
        <v>36</v>
      </c>
      <c r="E9" s="7"/>
      <c r="F9" s="28"/>
      <c r="G9" s="28"/>
      <c r="H9" s="28"/>
      <c r="I9" s="28"/>
    </row>
    <row r="10" customFormat="false" ht="48" hidden="false" customHeight="true" outlineLevel="0" collapsed="false">
      <c r="A10" s="25" t="s">
        <v>176</v>
      </c>
      <c r="B10" s="11" t="s">
        <v>177</v>
      </c>
      <c r="C10" s="26" t="s">
        <v>178</v>
      </c>
      <c r="D10" s="10" t="s">
        <v>36</v>
      </c>
      <c r="E10" s="10"/>
      <c r="F10" s="26"/>
      <c r="G10" s="26"/>
      <c r="H10" s="26"/>
      <c r="I10" s="26"/>
    </row>
  </sheetData>
  <mergeCells count="2">
    <mergeCell ref="A1:I1"/>
    <mergeCell ref="A3:I3"/>
  </mergeCells>
  <dataValidations count="1">
    <dataValidation allowBlank="true" errorStyle="stop" operator="between" showDropDown="false" showErrorMessage="false" showInputMessage="false" sqref="D4:D10" type="list">
      <formula1>"Not Assessed,Met,Partially Met,Not Met,Not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42"/>
    <col collapsed="false" customWidth="true" hidden="false" outlineLevel="0" max="5" min="4" style="0" width="18"/>
    <col collapsed="false" customWidth="true" hidden="false" outlineLevel="0" max="6" min="6" style="0" width="28"/>
    <col collapsed="false" customWidth="true" hidden="false" outlineLevel="0" max="7" min="7" style="0" width="32"/>
    <col collapsed="false" customWidth="true" hidden="false" outlineLevel="0" max="9" min="8" style="0" width="28"/>
  </cols>
  <sheetData>
    <row r="1" customFormat="false" ht="27.75" hidden="false" customHeight="true" outlineLevel="0" collapsed="false">
      <c r="A1" s="23" t="s">
        <v>179</v>
      </c>
      <c r="B1" s="23"/>
      <c r="C1" s="23"/>
      <c r="D1" s="23"/>
      <c r="E1" s="23"/>
      <c r="F1" s="23"/>
      <c r="G1" s="23"/>
      <c r="H1" s="23"/>
      <c r="I1" s="23"/>
    </row>
    <row r="2" customFormat="false" ht="39.75" hidden="false" customHeight="true" outlineLevel="0" collapsed="false">
      <c r="A2" s="6" t="s">
        <v>39</v>
      </c>
      <c r="B2" s="6" t="s">
        <v>40</v>
      </c>
      <c r="C2" s="6" t="s">
        <v>41</v>
      </c>
      <c r="D2" s="6" t="s">
        <v>42</v>
      </c>
      <c r="E2" s="6" t="s">
        <v>43</v>
      </c>
      <c r="F2" s="6" t="s">
        <v>44</v>
      </c>
      <c r="G2" s="6" t="s">
        <v>45</v>
      </c>
      <c r="H2" s="6" t="s">
        <v>46</v>
      </c>
      <c r="I2" s="6" t="s">
        <v>47</v>
      </c>
    </row>
    <row r="3" customFormat="false" ht="19.5" hidden="false" customHeight="true" outlineLevel="0" collapsed="false">
      <c r="A3" s="24" t="s">
        <v>180</v>
      </c>
      <c r="B3" s="24"/>
      <c r="C3" s="24"/>
      <c r="D3" s="24"/>
      <c r="E3" s="24"/>
      <c r="F3" s="24"/>
      <c r="G3" s="24"/>
      <c r="H3" s="24"/>
      <c r="I3" s="24"/>
    </row>
    <row r="4" customFormat="false" ht="48" hidden="false" customHeight="true" outlineLevel="0" collapsed="false">
      <c r="A4" s="25" t="s">
        <v>181</v>
      </c>
      <c r="B4" s="11" t="s">
        <v>182</v>
      </c>
      <c r="C4" s="26" t="s">
        <v>183</v>
      </c>
      <c r="D4" s="10" t="s">
        <v>36</v>
      </c>
      <c r="E4" s="10"/>
      <c r="F4" s="26"/>
      <c r="G4" s="26"/>
      <c r="H4" s="26"/>
      <c r="I4" s="26"/>
    </row>
    <row r="5" customFormat="false" ht="48" hidden="false" customHeight="true" outlineLevel="0" collapsed="false">
      <c r="A5" s="27" t="s">
        <v>184</v>
      </c>
      <c r="B5" s="8" t="s">
        <v>185</v>
      </c>
      <c r="C5" s="28" t="s">
        <v>186</v>
      </c>
      <c r="D5" s="7" t="s">
        <v>36</v>
      </c>
      <c r="E5" s="7"/>
      <c r="F5" s="28"/>
      <c r="G5" s="28"/>
      <c r="H5" s="28"/>
      <c r="I5" s="28"/>
    </row>
    <row r="6" customFormat="false" ht="48" hidden="false" customHeight="true" outlineLevel="0" collapsed="false">
      <c r="A6" s="25" t="s">
        <v>187</v>
      </c>
      <c r="B6" s="11" t="s">
        <v>188</v>
      </c>
      <c r="C6" s="26" t="s">
        <v>189</v>
      </c>
      <c r="D6" s="10" t="s">
        <v>36</v>
      </c>
      <c r="E6" s="10"/>
      <c r="F6" s="26"/>
      <c r="G6" s="26"/>
      <c r="H6" s="26"/>
      <c r="I6" s="26"/>
    </row>
    <row r="7" customFormat="false" ht="48" hidden="false" customHeight="true" outlineLevel="0" collapsed="false">
      <c r="A7" s="27" t="s">
        <v>190</v>
      </c>
      <c r="B7" s="8" t="s">
        <v>191</v>
      </c>
      <c r="C7" s="28" t="s">
        <v>192</v>
      </c>
      <c r="D7" s="7" t="s">
        <v>36</v>
      </c>
      <c r="E7" s="7"/>
      <c r="F7" s="28"/>
      <c r="G7" s="28"/>
      <c r="H7" s="28"/>
      <c r="I7" s="28"/>
    </row>
    <row r="8" customFormat="false" ht="48" hidden="false" customHeight="true" outlineLevel="0" collapsed="false">
      <c r="A8" s="25" t="s">
        <v>193</v>
      </c>
      <c r="B8" s="11" t="s">
        <v>194</v>
      </c>
      <c r="C8" s="26" t="s">
        <v>195</v>
      </c>
      <c r="D8" s="10" t="s">
        <v>36</v>
      </c>
      <c r="E8" s="10"/>
      <c r="F8" s="26"/>
      <c r="G8" s="26"/>
      <c r="H8" s="26"/>
      <c r="I8" s="26"/>
    </row>
    <row r="9" customFormat="false" ht="48" hidden="false" customHeight="true" outlineLevel="0" collapsed="false">
      <c r="A9" s="27" t="s">
        <v>196</v>
      </c>
      <c r="B9" s="8" t="s">
        <v>197</v>
      </c>
      <c r="C9" s="28" t="s">
        <v>198</v>
      </c>
      <c r="D9" s="7" t="s">
        <v>36</v>
      </c>
      <c r="E9" s="7"/>
      <c r="F9" s="28"/>
      <c r="G9" s="28"/>
      <c r="H9" s="28"/>
      <c r="I9" s="28"/>
    </row>
    <row r="10" customFormat="false" ht="48" hidden="false" customHeight="true" outlineLevel="0" collapsed="false">
      <c r="A10" s="25" t="s">
        <v>199</v>
      </c>
      <c r="B10" s="11" t="s">
        <v>200</v>
      </c>
      <c r="C10" s="26" t="s">
        <v>201</v>
      </c>
      <c r="D10" s="10" t="s">
        <v>36</v>
      </c>
      <c r="E10" s="10"/>
      <c r="F10" s="26"/>
      <c r="G10" s="26"/>
      <c r="H10" s="26"/>
      <c r="I10" s="26"/>
    </row>
    <row r="11" customFormat="false" ht="48" hidden="false" customHeight="true" outlineLevel="0" collapsed="false">
      <c r="A11" s="27" t="s">
        <v>202</v>
      </c>
      <c r="B11" s="8" t="s">
        <v>203</v>
      </c>
      <c r="C11" s="28" t="s">
        <v>204</v>
      </c>
      <c r="D11" s="7" t="s">
        <v>36</v>
      </c>
      <c r="E11" s="7"/>
      <c r="F11" s="28"/>
      <c r="G11" s="28"/>
      <c r="H11" s="28"/>
      <c r="I11" s="28"/>
    </row>
    <row r="12" customFormat="false" ht="48" hidden="false" customHeight="true" outlineLevel="0" collapsed="false">
      <c r="A12" s="25" t="s">
        <v>205</v>
      </c>
      <c r="B12" s="11" t="s">
        <v>206</v>
      </c>
      <c r="C12" s="26" t="s">
        <v>207</v>
      </c>
      <c r="D12" s="10" t="s">
        <v>36</v>
      </c>
      <c r="E12" s="10"/>
      <c r="F12" s="26"/>
      <c r="G12" s="26"/>
      <c r="H12" s="26"/>
      <c r="I12" s="26"/>
    </row>
    <row r="13" customFormat="false" ht="48" hidden="false" customHeight="true" outlineLevel="0" collapsed="false">
      <c r="A13" s="27" t="s">
        <v>208</v>
      </c>
      <c r="B13" s="8" t="s">
        <v>209</v>
      </c>
      <c r="C13" s="28" t="s">
        <v>210</v>
      </c>
      <c r="D13" s="7" t="s">
        <v>36</v>
      </c>
      <c r="E13" s="7"/>
      <c r="F13" s="28"/>
      <c r="G13" s="28"/>
      <c r="H13" s="28"/>
      <c r="I13" s="28"/>
    </row>
    <row r="14" customFormat="false" ht="48" hidden="false" customHeight="true" outlineLevel="0" collapsed="false">
      <c r="A14" s="25" t="s">
        <v>211</v>
      </c>
      <c r="B14" s="11" t="s">
        <v>212</v>
      </c>
      <c r="C14" s="26" t="s">
        <v>213</v>
      </c>
      <c r="D14" s="10" t="s">
        <v>36</v>
      </c>
      <c r="E14" s="10"/>
      <c r="F14" s="26"/>
      <c r="G14" s="26"/>
      <c r="H14" s="26"/>
      <c r="I14" s="26"/>
    </row>
    <row r="15" customFormat="false" ht="48" hidden="false" customHeight="true" outlineLevel="0" collapsed="false">
      <c r="A15" s="27" t="s">
        <v>214</v>
      </c>
      <c r="B15" s="8" t="s">
        <v>215</v>
      </c>
      <c r="C15" s="28" t="s">
        <v>216</v>
      </c>
      <c r="D15" s="7" t="s">
        <v>36</v>
      </c>
      <c r="E15" s="7"/>
      <c r="F15" s="28"/>
      <c r="G15" s="28"/>
      <c r="H15" s="28"/>
      <c r="I15" s="28"/>
    </row>
    <row r="16" customFormat="false" ht="48" hidden="false" customHeight="true" outlineLevel="0" collapsed="false">
      <c r="A16" s="25" t="s">
        <v>217</v>
      </c>
      <c r="B16" s="11" t="s">
        <v>218</v>
      </c>
      <c r="C16" s="26" t="s">
        <v>219</v>
      </c>
      <c r="D16" s="10" t="s">
        <v>36</v>
      </c>
      <c r="E16" s="10"/>
      <c r="F16" s="26"/>
      <c r="G16" s="26"/>
      <c r="H16" s="26"/>
      <c r="I16" s="26"/>
    </row>
  </sheetData>
  <mergeCells count="2">
    <mergeCell ref="A1:I1"/>
    <mergeCell ref="A3:I3"/>
  </mergeCells>
  <dataValidations count="1">
    <dataValidation allowBlank="true" errorStyle="stop" operator="between" showDropDown="false" showErrorMessage="false" showInputMessage="false" sqref="D4:D16" type="list">
      <formula1>"Not Assessed,Met,Partially Met,Not Met,Not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42"/>
    <col collapsed="false" customWidth="true" hidden="false" outlineLevel="0" max="5" min="4" style="0" width="18"/>
    <col collapsed="false" customWidth="true" hidden="false" outlineLevel="0" max="6" min="6" style="0" width="28"/>
    <col collapsed="false" customWidth="true" hidden="false" outlineLevel="0" max="7" min="7" style="0" width="32"/>
    <col collapsed="false" customWidth="true" hidden="false" outlineLevel="0" max="9" min="8" style="0" width="28"/>
  </cols>
  <sheetData>
    <row r="1" customFormat="false" ht="27.75" hidden="false" customHeight="true" outlineLevel="0" collapsed="false">
      <c r="A1" s="23" t="s">
        <v>220</v>
      </c>
      <c r="B1" s="23"/>
      <c r="C1" s="23"/>
      <c r="D1" s="23"/>
      <c r="E1" s="23"/>
      <c r="F1" s="23"/>
      <c r="G1" s="23"/>
      <c r="H1" s="23"/>
      <c r="I1" s="23"/>
    </row>
    <row r="2" customFormat="false" ht="39.75" hidden="false" customHeight="true" outlineLevel="0" collapsed="false">
      <c r="A2" s="6" t="s">
        <v>39</v>
      </c>
      <c r="B2" s="6" t="s">
        <v>40</v>
      </c>
      <c r="C2" s="6" t="s">
        <v>41</v>
      </c>
      <c r="D2" s="6" t="s">
        <v>42</v>
      </c>
      <c r="E2" s="6" t="s">
        <v>43</v>
      </c>
      <c r="F2" s="6" t="s">
        <v>44</v>
      </c>
      <c r="G2" s="6" t="s">
        <v>45</v>
      </c>
      <c r="H2" s="6" t="s">
        <v>46</v>
      </c>
      <c r="I2" s="6" t="s">
        <v>47</v>
      </c>
    </row>
    <row r="3" customFormat="false" ht="19.5" hidden="false" customHeight="true" outlineLevel="0" collapsed="false">
      <c r="A3" s="24" t="s">
        <v>221</v>
      </c>
      <c r="B3" s="24"/>
      <c r="C3" s="24"/>
      <c r="D3" s="24"/>
      <c r="E3" s="24"/>
      <c r="F3" s="24"/>
      <c r="G3" s="24"/>
      <c r="H3" s="24"/>
      <c r="I3" s="24"/>
    </row>
    <row r="4" customFormat="false" ht="48" hidden="false" customHeight="true" outlineLevel="0" collapsed="false">
      <c r="A4" s="25" t="s">
        <v>222</v>
      </c>
      <c r="B4" s="11" t="s">
        <v>223</v>
      </c>
      <c r="C4" s="26" t="s">
        <v>224</v>
      </c>
      <c r="D4" s="10" t="s">
        <v>36</v>
      </c>
      <c r="E4" s="10"/>
      <c r="F4" s="26"/>
      <c r="G4" s="26"/>
      <c r="H4" s="26"/>
      <c r="I4" s="26"/>
    </row>
    <row r="5" customFormat="false" ht="48" hidden="false" customHeight="true" outlineLevel="0" collapsed="false">
      <c r="A5" s="27" t="s">
        <v>225</v>
      </c>
      <c r="B5" s="8" t="s">
        <v>226</v>
      </c>
      <c r="C5" s="28" t="s">
        <v>227</v>
      </c>
      <c r="D5" s="7" t="s">
        <v>36</v>
      </c>
      <c r="E5" s="7"/>
      <c r="F5" s="28"/>
      <c r="G5" s="28"/>
      <c r="H5" s="28"/>
      <c r="I5" s="28"/>
    </row>
    <row r="6" customFormat="false" ht="48" hidden="false" customHeight="true" outlineLevel="0" collapsed="false">
      <c r="A6" s="25" t="s">
        <v>228</v>
      </c>
      <c r="B6" s="11" t="s">
        <v>229</v>
      </c>
      <c r="C6" s="26" t="s">
        <v>230</v>
      </c>
      <c r="D6" s="10" t="s">
        <v>36</v>
      </c>
      <c r="E6" s="10"/>
      <c r="F6" s="26"/>
      <c r="G6" s="26"/>
      <c r="H6" s="26"/>
      <c r="I6" s="26"/>
    </row>
    <row r="7" customFormat="false" ht="48" hidden="false" customHeight="true" outlineLevel="0" collapsed="false">
      <c r="A7" s="27" t="s">
        <v>231</v>
      </c>
      <c r="B7" s="8" t="s">
        <v>232</v>
      </c>
      <c r="C7" s="28" t="s">
        <v>233</v>
      </c>
      <c r="D7" s="7" t="s">
        <v>36</v>
      </c>
      <c r="E7" s="7"/>
      <c r="F7" s="28"/>
      <c r="G7" s="28"/>
      <c r="H7" s="28"/>
      <c r="I7" s="28"/>
    </row>
  </sheetData>
  <mergeCells count="2">
    <mergeCell ref="A1:I1"/>
    <mergeCell ref="A3:I3"/>
  </mergeCells>
  <dataValidations count="1">
    <dataValidation allowBlank="true" errorStyle="stop" operator="between" showDropDown="false" showErrorMessage="false" showInputMessage="false" sqref="D4:D7" type="list">
      <formula1>"Not Assessed,Met,Partially Met,Not Met,Not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42"/>
    <col collapsed="false" customWidth="true" hidden="false" outlineLevel="0" max="5" min="4" style="0" width="18"/>
    <col collapsed="false" customWidth="true" hidden="false" outlineLevel="0" max="6" min="6" style="0" width="28"/>
    <col collapsed="false" customWidth="true" hidden="false" outlineLevel="0" max="7" min="7" style="0" width="32"/>
    <col collapsed="false" customWidth="true" hidden="false" outlineLevel="0" max="9" min="8" style="0" width="28"/>
  </cols>
  <sheetData>
    <row r="1" customFormat="false" ht="27.75" hidden="false" customHeight="true" outlineLevel="0" collapsed="false">
      <c r="A1" s="23" t="s">
        <v>234</v>
      </c>
      <c r="B1" s="23"/>
      <c r="C1" s="23"/>
      <c r="D1" s="23"/>
      <c r="E1" s="23"/>
      <c r="F1" s="23"/>
      <c r="G1" s="23"/>
      <c r="H1" s="23"/>
      <c r="I1" s="23"/>
    </row>
    <row r="2" customFormat="false" ht="39.75" hidden="false" customHeight="true" outlineLevel="0" collapsed="false">
      <c r="A2" s="6" t="s">
        <v>39</v>
      </c>
      <c r="B2" s="6" t="s">
        <v>40</v>
      </c>
      <c r="C2" s="6" t="s">
        <v>41</v>
      </c>
      <c r="D2" s="6" t="s">
        <v>42</v>
      </c>
      <c r="E2" s="6" t="s">
        <v>43</v>
      </c>
      <c r="F2" s="6" t="s">
        <v>44</v>
      </c>
      <c r="G2" s="6" t="s">
        <v>45</v>
      </c>
      <c r="H2" s="6" t="s">
        <v>46</v>
      </c>
      <c r="I2" s="6" t="s">
        <v>47</v>
      </c>
    </row>
    <row r="3" customFormat="false" ht="19.5" hidden="false" customHeight="true" outlineLevel="0" collapsed="false">
      <c r="A3" s="24" t="s">
        <v>235</v>
      </c>
      <c r="B3" s="24"/>
      <c r="C3" s="24"/>
      <c r="D3" s="24"/>
      <c r="E3" s="24"/>
      <c r="F3" s="24"/>
      <c r="G3" s="24"/>
      <c r="H3" s="24"/>
      <c r="I3" s="24"/>
    </row>
    <row r="4" customFormat="false" ht="48" hidden="false" customHeight="true" outlineLevel="0" collapsed="false">
      <c r="A4" s="25" t="s">
        <v>236</v>
      </c>
      <c r="B4" s="11" t="s">
        <v>237</v>
      </c>
      <c r="C4" s="26" t="s">
        <v>238</v>
      </c>
      <c r="D4" s="10" t="s">
        <v>36</v>
      </c>
      <c r="E4" s="10"/>
      <c r="F4" s="26"/>
      <c r="G4" s="26"/>
      <c r="H4" s="26"/>
      <c r="I4" s="26"/>
    </row>
    <row r="5" customFormat="false" ht="48" hidden="false" customHeight="true" outlineLevel="0" collapsed="false">
      <c r="A5" s="27" t="s">
        <v>239</v>
      </c>
      <c r="B5" s="8" t="s">
        <v>240</v>
      </c>
      <c r="C5" s="28" t="s">
        <v>241</v>
      </c>
      <c r="D5" s="7" t="s">
        <v>36</v>
      </c>
      <c r="E5" s="7"/>
      <c r="F5" s="28"/>
      <c r="G5" s="28"/>
      <c r="H5" s="28"/>
      <c r="I5" s="28"/>
    </row>
    <row r="6" customFormat="false" ht="48" hidden="false" customHeight="true" outlineLevel="0" collapsed="false">
      <c r="A6" s="25" t="s">
        <v>242</v>
      </c>
      <c r="B6" s="11" t="s">
        <v>243</v>
      </c>
      <c r="C6" s="26" t="s">
        <v>244</v>
      </c>
      <c r="D6" s="10" t="s">
        <v>36</v>
      </c>
      <c r="E6" s="10"/>
      <c r="F6" s="26"/>
      <c r="G6" s="26"/>
      <c r="H6" s="26"/>
      <c r="I6" s="26"/>
    </row>
    <row r="7" customFormat="false" ht="48" hidden="false" customHeight="true" outlineLevel="0" collapsed="false">
      <c r="A7" s="27" t="s">
        <v>245</v>
      </c>
      <c r="B7" s="8" t="s">
        <v>246</v>
      </c>
      <c r="C7" s="28" t="s">
        <v>247</v>
      </c>
      <c r="D7" s="7" t="s">
        <v>36</v>
      </c>
      <c r="E7" s="7"/>
      <c r="F7" s="28"/>
      <c r="G7" s="28"/>
      <c r="H7" s="28"/>
      <c r="I7" s="28"/>
    </row>
    <row r="8" customFormat="false" ht="48" hidden="false" customHeight="true" outlineLevel="0" collapsed="false">
      <c r="A8" s="25" t="s">
        <v>248</v>
      </c>
      <c r="B8" s="11" t="s">
        <v>249</v>
      </c>
      <c r="C8" s="26" t="s">
        <v>250</v>
      </c>
      <c r="D8" s="10" t="s">
        <v>36</v>
      </c>
      <c r="E8" s="10"/>
      <c r="F8" s="26"/>
      <c r="G8" s="26"/>
      <c r="H8" s="26"/>
      <c r="I8" s="26"/>
    </row>
    <row r="9" customFormat="false" ht="48" hidden="false" customHeight="true" outlineLevel="0" collapsed="false">
      <c r="A9" s="27" t="s">
        <v>251</v>
      </c>
      <c r="B9" s="8" t="s">
        <v>252</v>
      </c>
      <c r="C9" s="28" t="s">
        <v>253</v>
      </c>
      <c r="D9" s="7" t="s">
        <v>36</v>
      </c>
      <c r="E9" s="7"/>
      <c r="F9" s="28"/>
      <c r="G9" s="28"/>
      <c r="H9" s="28"/>
      <c r="I9" s="28"/>
    </row>
    <row r="10" customFormat="false" ht="48" hidden="false" customHeight="true" outlineLevel="0" collapsed="false">
      <c r="A10" s="25" t="s">
        <v>254</v>
      </c>
      <c r="B10" s="11" t="s">
        <v>255</v>
      </c>
      <c r="C10" s="26" t="s">
        <v>256</v>
      </c>
      <c r="D10" s="10" t="s">
        <v>36</v>
      </c>
      <c r="E10" s="10"/>
      <c r="F10" s="26"/>
      <c r="G10" s="26"/>
      <c r="H10" s="26"/>
      <c r="I10" s="26"/>
    </row>
    <row r="11" customFormat="false" ht="48" hidden="false" customHeight="true" outlineLevel="0" collapsed="false">
      <c r="A11" s="27" t="s">
        <v>257</v>
      </c>
      <c r="B11" s="8" t="s">
        <v>258</v>
      </c>
      <c r="C11" s="28" t="s">
        <v>259</v>
      </c>
      <c r="D11" s="7" t="s">
        <v>36</v>
      </c>
      <c r="E11" s="7"/>
      <c r="F11" s="28"/>
      <c r="G11" s="28"/>
      <c r="H11" s="28"/>
      <c r="I11" s="28"/>
    </row>
    <row r="12" customFormat="false" ht="48" hidden="false" customHeight="true" outlineLevel="0" collapsed="false">
      <c r="A12" s="25" t="s">
        <v>260</v>
      </c>
      <c r="B12" s="11" t="s">
        <v>261</v>
      </c>
      <c r="C12" s="26" t="s">
        <v>262</v>
      </c>
      <c r="D12" s="10" t="s">
        <v>36</v>
      </c>
      <c r="E12" s="10"/>
      <c r="F12" s="26"/>
      <c r="G12" s="26"/>
      <c r="H12" s="26"/>
      <c r="I12" s="26"/>
    </row>
    <row r="13" customFormat="false" ht="48" hidden="false" customHeight="true" outlineLevel="0" collapsed="false">
      <c r="A13" s="27" t="s">
        <v>263</v>
      </c>
      <c r="B13" s="8" t="s">
        <v>264</v>
      </c>
      <c r="C13" s="28" t="s">
        <v>265</v>
      </c>
      <c r="D13" s="7" t="s">
        <v>36</v>
      </c>
      <c r="E13" s="7"/>
      <c r="F13" s="28"/>
      <c r="G13" s="28"/>
      <c r="H13" s="28"/>
      <c r="I13" s="28"/>
    </row>
    <row r="14" customFormat="false" ht="48" hidden="false" customHeight="true" outlineLevel="0" collapsed="false">
      <c r="A14" s="25" t="s">
        <v>266</v>
      </c>
      <c r="B14" s="11" t="s">
        <v>267</v>
      </c>
      <c r="C14" s="26" t="s">
        <v>268</v>
      </c>
      <c r="D14" s="10" t="s">
        <v>36</v>
      </c>
      <c r="E14" s="10"/>
      <c r="F14" s="26"/>
      <c r="G14" s="26"/>
      <c r="H14" s="26"/>
      <c r="I14" s="26"/>
    </row>
    <row r="15" customFormat="false" ht="48" hidden="false" customHeight="true" outlineLevel="0" collapsed="false">
      <c r="A15" s="27" t="s">
        <v>269</v>
      </c>
      <c r="B15" s="8" t="s">
        <v>270</v>
      </c>
      <c r="C15" s="28" t="s">
        <v>271</v>
      </c>
      <c r="D15" s="7" t="s">
        <v>36</v>
      </c>
      <c r="E15" s="7"/>
      <c r="F15" s="28"/>
      <c r="G15" s="28"/>
      <c r="H15" s="28"/>
      <c r="I15" s="28"/>
    </row>
    <row r="16" customFormat="false" ht="48" hidden="false" customHeight="true" outlineLevel="0" collapsed="false">
      <c r="A16" s="25" t="s">
        <v>272</v>
      </c>
      <c r="B16" s="11" t="s">
        <v>273</v>
      </c>
      <c r="C16" s="26" t="s">
        <v>274</v>
      </c>
      <c r="D16" s="10" t="s">
        <v>36</v>
      </c>
      <c r="E16" s="10"/>
      <c r="F16" s="26"/>
      <c r="G16" s="26"/>
      <c r="H16" s="26"/>
      <c r="I16" s="26"/>
    </row>
    <row r="17" customFormat="false" ht="48" hidden="false" customHeight="true" outlineLevel="0" collapsed="false">
      <c r="A17" s="27" t="s">
        <v>275</v>
      </c>
      <c r="B17" s="8" t="s">
        <v>276</v>
      </c>
      <c r="C17" s="28" t="s">
        <v>277</v>
      </c>
      <c r="D17" s="7" t="s">
        <v>36</v>
      </c>
      <c r="E17" s="7"/>
      <c r="F17" s="28"/>
      <c r="G17" s="28"/>
      <c r="H17" s="28"/>
      <c r="I17" s="28"/>
    </row>
    <row r="18" customFormat="false" ht="48" hidden="false" customHeight="true" outlineLevel="0" collapsed="false">
      <c r="A18" s="25" t="s">
        <v>278</v>
      </c>
      <c r="B18" s="11" t="s">
        <v>279</v>
      </c>
      <c r="C18" s="26" t="s">
        <v>280</v>
      </c>
      <c r="D18" s="10" t="s">
        <v>36</v>
      </c>
      <c r="E18" s="10"/>
      <c r="F18" s="26"/>
      <c r="G18" s="26"/>
      <c r="H18" s="26"/>
      <c r="I18" s="26"/>
    </row>
    <row r="19" customFormat="false" ht="48" hidden="false" customHeight="true" outlineLevel="0" collapsed="false">
      <c r="A19" s="27" t="s">
        <v>281</v>
      </c>
      <c r="B19" s="8" t="s">
        <v>282</v>
      </c>
      <c r="C19" s="28" t="s">
        <v>283</v>
      </c>
      <c r="D19" s="7" t="s">
        <v>36</v>
      </c>
      <c r="E19" s="7"/>
      <c r="F19" s="28"/>
      <c r="G19" s="28"/>
      <c r="H19" s="28"/>
      <c r="I19" s="28"/>
    </row>
    <row r="20" customFormat="false" ht="48" hidden="false" customHeight="true" outlineLevel="0" collapsed="false">
      <c r="A20" s="25" t="s">
        <v>284</v>
      </c>
      <c r="B20" s="11" t="s">
        <v>285</v>
      </c>
      <c r="C20" s="26" t="s">
        <v>286</v>
      </c>
      <c r="D20" s="10" t="s">
        <v>36</v>
      </c>
      <c r="E20" s="10"/>
      <c r="F20" s="26"/>
      <c r="G20" s="26"/>
      <c r="H20" s="26"/>
      <c r="I20" s="26"/>
    </row>
    <row r="21" customFormat="false" ht="48" hidden="false" customHeight="true" outlineLevel="0" collapsed="false">
      <c r="A21" s="27" t="s">
        <v>287</v>
      </c>
      <c r="B21" s="8" t="s">
        <v>288</v>
      </c>
      <c r="C21" s="28" t="s">
        <v>289</v>
      </c>
      <c r="D21" s="7" t="s">
        <v>36</v>
      </c>
      <c r="E21" s="7"/>
      <c r="F21" s="28"/>
      <c r="G21" s="28"/>
      <c r="H21" s="28"/>
      <c r="I21" s="28"/>
    </row>
    <row r="22" customFormat="false" ht="48" hidden="false" customHeight="true" outlineLevel="0" collapsed="false">
      <c r="A22" s="25" t="s">
        <v>290</v>
      </c>
      <c r="B22" s="11" t="s">
        <v>291</v>
      </c>
      <c r="C22" s="26" t="s">
        <v>292</v>
      </c>
      <c r="D22" s="10" t="s">
        <v>36</v>
      </c>
      <c r="E22" s="10"/>
      <c r="F22" s="26"/>
      <c r="G22" s="26"/>
      <c r="H22" s="26"/>
      <c r="I22" s="26"/>
    </row>
    <row r="23" customFormat="false" ht="48" hidden="false" customHeight="true" outlineLevel="0" collapsed="false">
      <c r="A23" s="27" t="s">
        <v>293</v>
      </c>
      <c r="B23" s="8" t="s">
        <v>294</v>
      </c>
      <c r="C23" s="28" t="s">
        <v>295</v>
      </c>
      <c r="D23" s="7" t="s">
        <v>36</v>
      </c>
      <c r="E23" s="7"/>
      <c r="F23" s="28"/>
      <c r="G23" s="28"/>
      <c r="H23" s="28"/>
      <c r="I23" s="28"/>
    </row>
    <row r="24" customFormat="false" ht="48" hidden="false" customHeight="true" outlineLevel="0" collapsed="false">
      <c r="A24" s="25" t="s">
        <v>296</v>
      </c>
      <c r="B24" s="11" t="s">
        <v>297</v>
      </c>
      <c r="C24" s="26" t="s">
        <v>298</v>
      </c>
      <c r="D24" s="10" t="s">
        <v>36</v>
      </c>
      <c r="E24" s="10"/>
      <c r="F24" s="26"/>
      <c r="G24" s="26"/>
      <c r="H24" s="26"/>
      <c r="I24" s="26"/>
    </row>
    <row r="25" customFormat="false" ht="48" hidden="false" customHeight="true" outlineLevel="0" collapsed="false">
      <c r="A25" s="27" t="s">
        <v>299</v>
      </c>
      <c r="B25" s="8" t="s">
        <v>300</v>
      </c>
      <c r="C25" s="28" t="s">
        <v>301</v>
      </c>
      <c r="D25" s="7" t="s">
        <v>36</v>
      </c>
      <c r="E25" s="7"/>
      <c r="F25" s="28"/>
      <c r="G25" s="28"/>
      <c r="H25" s="28"/>
      <c r="I25" s="28"/>
    </row>
  </sheetData>
  <mergeCells count="2">
    <mergeCell ref="A1:I1"/>
    <mergeCell ref="A3:I3"/>
  </mergeCells>
  <dataValidations count="1">
    <dataValidation allowBlank="true" errorStyle="stop" operator="between" showDropDown="false" showErrorMessage="false" showInputMessage="false" sqref="D4:D25" type="list">
      <formula1>"Not Assessed,Met,Partially Met,Not Met,Not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36"/>
    <col collapsed="false" customWidth="true" hidden="false" outlineLevel="0" max="8" min="8" style="0" width="16"/>
    <col collapsed="false" customWidth="true" hidden="false" outlineLevel="0" max="10" min="9" style="0" width="14"/>
  </cols>
  <sheetData>
    <row r="1" customFormat="false" ht="27.75" hidden="false" customHeight="true" outlineLevel="0" collapsed="false">
      <c r="A1" s="23" t="s">
        <v>302</v>
      </c>
      <c r="B1" s="23"/>
      <c r="C1" s="23"/>
      <c r="D1" s="23"/>
      <c r="E1" s="23"/>
      <c r="F1" s="23"/>
      <c r="G1" s="23"/>
      <c r="H1" s="23"/>
      <c r="I1" s="23"/>
    </row>
    <row r="2" customFormat="false" ht="39.75" hidden="false" customHeight="true" outlineLevel="0" collapsed="false">
      <c r="A2" s="6" t="s">
        <v>303</v>
      </c>
      <c r="B2" s="6" t="s">
        <v>304</v>
      </c>
      <c r="C2" s="6" t="s">
        <v>305</v>
      </c>
      <c r="D2" s="6" t="s">
        <v>306</v>
      </c>
      <c r="E2" s="6" t="s">
        <v>307</v>
      </c>
      <c r="F2" s="6" t="s">
        <v>43</v>
      </c>
      <c r="G2" s="6" t="s">
        <v>308</v>
      </c>
      <c r="H2" s="6" t="s">
        <v>309</v>
      </c>
      <c r="I2" s="6" t="s">
        <v>310</v>
      </c>
      <c r="J2" s="6" t="s">
        <v>311</v>
      </c>
    </row>
    <row r="3" customFormat="false" ht="51.75" hidden="false" customHeight="true" outlineLevel="0" collapsed="false">
      <c r="A3" s="27" t="s">
        <v>312</v>
      </c>
      <c r="B3" s="8" t="s">
        <v>313</v>
      </c>
      <c r="C3" s="7" t="s">
        <v>314</v>
      </c>
      <c r="D3" s="28" t="s">
        <v>315</v>
      </c>
      <c r="E3" s="7" t="s">
        <v>316</v>
      </c>
      <c r="F3" s="7" t="s">
        <v>317</v>
      </c>
      <c r="G3" s="28" t="s">
        <v>318</v>
      </c>
      <c r="H3" s="7" t="s">
        <v>319</v>
      </c>
      <c r="I3" s="7" t="s">
        <v>320</v>
      </c>
      <c r="J3" s="7" t="s">
        <v>321</v>
      </c>
    </row>
    <row r="4" customFormat="false" ht="51.75" hidden="false" customHeight="true" outlineLevel="0" collapsed="false">
      <c r="A4" s="25" t="s">
        <v>322</v>
      </c>
      <c r="B4" s="11" t="s">
        <v>323</v>
      </c>
      <c r="C4" s="10" t="s">
        <v>324</v>
      </c>
      <c r="D4" s="26" t="s">
        <v>325</v>
      </c>
      <c r="E4" s="10" t="s">
        <v>326</v>
      </c>
      <c r="F4" s="10" t="s">
        <v>317</v>
      </c>
      <c r="G4" s="26" t="s">
        <v>327</v>
      </c>
      <c r="H4" s="10" t="s">
        <v>319</v>
      </c>
      <c r="I4" s="10" t="s">
        <v>328</v>
      </c>
      <c r="J4" s="10" t="s">
        <v>329</v>
      </c>
    </row>
    <row r="5" customFormat="false" ht="51.75" hidden="false" customHeight="true" outlineLevel="0" collapsed="false">
      <c r="A5" s="27" t="s">
        <v>330</v>
      </c>
      <c r="B5" s="8" t="s">
        <v>331</v>
      </c>
      <c r="C5" s="7" t="s">
        <v>314</v>
      </c>
      <c r="D5" s="28" t="s">
        <v>146</v>
      </c>
      <c r="E5" s="7" t="s">
        <v>332</v>
      </c>
      <c r="F5" s="7" t="s">
        <v>333</v>
      </c>
      <c r="G5" s="28" t="s">
        <v>334</v>
      </c>
      <c r="H5" s="7" t="s">
        <v>319</v>
      </c>
      <c r="I5" s="7" t="s">
        <v>320</v>
      </c>
      <c r="J5" s="7" t="s">
        <v>321</v>
      </c>
    </row>
    <row r="6" customFormat="false" ht="51.75" hidden="false" customHeight="true" outlineLevel="0" collapsed="false">
      <c r="A6" s="25" t="s">
        <v>335</v>
      </c>
      <c r="B6" s="11" t="s">
        <v>336</v>
      </c>
      <c r="C6" s="10" t="s">
        <v>324</v>
      </c>
      <c r="D6" s="26" t="s">
        <v>142</v>
      </c>
      <c r="E6" s="10" t="s">
        <v>337</v>
      </c>
      <c r="F6" s="10" t="s">
        <v>338</v>
      </c>
      <c r="G6" s="26" t="s">
        <v>339</v>
      </c>
      <c r="H6" s="10" t="s">
        <v>340</v>
      </c>
      <c r="I6" s="10" t="s">
        <v>320</v>
      </c>
      <c r="J6" s="10" t="s">
        <v>341</v>
      </c>
    </row>
    <row r="7" customFormat="false" ht="51.75" hidden="false" customHeight="true" outlineLevel="0" collapsed="false">
      <c r="A7" s="27" t="s">
        <v>342</v>
      </c>
      <c r="B7" s="8" t="s">
        <v>343</v>
      </c>
      <c r="C7" s="7" t="s">
        <v>344</v>
      </c>
      <c r="D7" s="28" t="s">
        <v>345</v>
      </c>
      <c r="E7" s="7" t="s">
        <v>346</v>
      </c>
      <c r="F7" s="7" t="s">
        <v>347</v>
      </c>
      <c r="G7" s="28" t="s">
        <v>348</v>
      </c>
      <c r="H7" s="7" t="s">
        <v>319</v>
      </c>
      <c r="I7" s="7" t="s">
        <v>349</v>
      </c>
      <c r="J7" s="7" t="s">
        <v>350</v>
      </c>
    </row>
    <row r="8" customFormat="false" ht="51.75" hidden="false" customHeight="true" outlineLevel="0" collapsed="false">
      <c r="A8" s="25" t="s">
        <v>351</v>
      </c>
      <c r="B8" s="11" t="s">
        <v>352</v>
      </c>
      <c r="C8" s="10" t="s">
        <v>314</v>
      </c>
      <c r="D8" s="26" t="s">
        <v>353</v>
      </c>
      <c r="E8" s="10" t="s">
        <v>346</v>
      </c>
      <c r="F8" s="10" t="s">
        <v>354</v>
      </c>
      <c r="G8" s="26" t="s">
        <v>355</v>
      </c>
      <c r="H8" s="10" t="s">
        <v>319</v>
      </c>
      <c r="I8" s="10" t="s">
        <v>328</v>
      </c>
      <c r="J8" s="10" t="s">
        <v>356</v>
      </c>
    </row>
    <row r="9" customFormat="false" ht="51.75" hidden="false" customHeight="true" outlineLevel="0" collapsed="false">
      <c r="A9" s="27" t="s">
        <v>357</v>
      </c>
      <c r="B9" s="8" t="s">
        <v>358</v>
      </c>
      <c r="C9" s="7" t="s">
        <v>314</v>
      </c>
      <c r="D9" s="28" t="s">
        <v>359</v>
      </c>
      <c r="E9" s="7" t="s">
        <v>316</v>
      </c>
      <c r="F9" s="7" t="s">
        <v>360</v>
      </c>
      <c r="G9" s="28" t="s">
        <v>361</v>
      </c>
      <c r="H9" s="7" t="s">
        <v>340</v>
      </c>
      <c r="I9" s="7" t="s">
        <v>320</v>
      </c>
      <c r="J9" s="7" t="s">
        <v>341</v>
      </c>
    </row>
    <row r="10" customFormat="false" ht="51.75" hidden="false" customHeight="true" outlineLevel="0" collapsed="false">
      <c r="A10" s="25" t="s">
        <v>362</v>
      </c>
      <c r="B10" s="11" t="s">
        <v>363</v>
      </c>
      <c r="C10" s="10" t="s">
        <v>314</v>
      </c>
      <c r="D10" s="26" t="s">
        <v>364</v>
      </c>
      <c r="E10" s="10" t="s">
        <v>316</v>
      </c>
      <c r="F10" s="10" t="s">
        <v>317</v>
      </c>
      <c r="G10" s="26" t="s">
        <v>365</v>
      </c>
      <c r="H10" s="10" t="s">
        <v>319</v>
      </c>
      <c r="I10" s="10" t="s">
        <v>320</v>
      </c>
      <c r="J10" s="10" t="s">
        <v>321</v>
      </c>
    </row>
    <row r="11" customFormat="false" ht="51.75" hidden="false" customHeight="true" outlineLevel="0" collapsed="false">
      <c r="A11" s="27" t="s">
        <v>366</v>
      </c>
      <c r="B11" s="8" t="s">
        <v>367</v>
      </c>
      <c r="C11" s="7" t="s">
        <v>314</v>
      </c>
      <c r="D11" s="28" t="s">
        <v>368</v>
      </c>
      <c r="E11" s="7" t="s">
        <v>369</v>
      </c>
      <c r="F11" s="7" t="s">
        <v>370</v>
      </c>
      <c r="G11" s="28" t="s">
        <v>371</v>
      </c>
      <c r="H11" s="7" t="s">
        <v>319</v>
      </c>
      <c r="I11" s="7" t="s">
        <v>320</v>
      </c>
      <c r="J11" s="7" t="s">
        <v>321</v>
      </c>
    </row>
    <row r="12" customFormat="false" ht="51.75" hidden="false" customHeight="true" outlineLevel="0" collapsed="false">
      <c r="A12" s="25" t="s">
        <v>372</v>
      </c>
      <c r="B12" s="11" t="s">
        <v>373</v>
      </c>
      <c r="C12" s="10" t="s">
        <v>344</v>
      </c>
      <c r="D12" s="26" t="s">
        <v>374</v>
      </c>
      <c r="E12" s="10" t="s">
        <v>346</v>
      </c>
      <c r="F12" s="10" t="s">
        <v>375</v>
      </c>
      <c r="G12" s="26" t="s">
        <v>376</v>
      </c>
      <c r="H12" s="10" t="s">
        <v>319</v>
      </c>
      <c r="I12" s="10" t="s">
        <v>377</v>
      </c>
      <c r="J12" s="10" t="s">
        <v>378</v>
      </c>
    </row>
  </sheetData>
  <mergeCells count="1">
    <mergeCell ref="A1:I1"/>
  </mergeCells>
  <dataValidations count="2">
    <dataValidation allowBlank="true" errorStyle="stop" operator="between" showDropDown="false" showErrorMessage="false" showInputMessage="false" sqref="C3:C12" type="list">
      <formula1>"Preventive,Detective,Corrective,Compensating"</formula1>
      <formula2>0</formula2>
    </dataValidation>
    <dataValidation allowBlank="true" errorStyle="stop" operator="between" showDropDown="false" showErrorMessage="false" showInputMessage="false" sqref="H3:H12" type="list">
      <formula1>"Effective,Ineffective,Partially Effective,Not Tested"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6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27.75" hidden="false" customHeight="true" outlineLevel="0" collapsed="false">
      <c r="A1" s="23" t="s">
        <v>379</v>
      </c>
      <c r="B1" s="23"/>
      <c r="C1" s="23"/>
      <c r="D1" s="23"/>
      <c r="E1" s="23"/>
      <c r="F1" s="23"/>
      <c r="G1" s="23"/>
      <c r="H1" s="23"/>
      <c r="I1" s="23"/>
      <c r="J1" s="23"/>
    </row>
    <row r="2" customFormat="false" ht="39.75" hidden="false" customHeight="true" outlineLevel="0" collapsed="false">
      <c r="A2" s="6" t="s">
        <v>380</v>
      </c>
      <c r="B2" s="6" t="s">
        <v>381</v>
      </c>
      <c r="C2" s="6" t="s">
        <v>382</v>
      </c>
      <c r="D2" s="6" t="s">
        <v>383</v>
      </c>
      <c r="E2" s="6" t="s">
        <v>384</v>
      </c>
      <c r="F2" s="6" t="s">
        <v>385</v>
      </c>
      <c r="G2" s="6" t="s">
        <v>47</v>
      </c>
      <c r="H2" s="6" t="s">
        <v>386</v>
      </c>
      <c r="I2" s="6" t="s">
        <v>387</v>
      </c>
      <c r="J2" s="6" t="s">
        <v>42</v>
      </c>
    </row>
    <row r="3" customFormat="false" ht="55.5" hidden="false" customHeight="true" outlineLevel="0" collapsed="false">
      <c r="A3" s="27" t="s">
        <v>388</v>
      </c>
      <c r="B3" s="7" t="s">
        <v>389</v>
      </c>
      <c r="C3" s="7" t="s">
        <v>114</v>
      </c>
      <c r="D3" s="28" t="s">
        <v>390</v>
      </c>
      <c r="E3" s="7" t="s">
        <v>391</v>
      </c>
      <c r="F3" s="28" t="s">
        <v>392</v>
      </c>
      <c r="G3" s="28" t="s">
        <v>393</v>
      </c>
      <c r="H3" s="7" t="s">
        <v>317</v>
      </c>
      <c r="I3" s="7" t="s">
        <v>394</v>
      </c>
      <c r="J3" s="7" t="s">
        <v>395</v>
      </c>
    </row>
    <row r="4" customFormat="false" ht="55.5" hidden="false" customHeight="true" outlineLevel="0" collapsed="false">
      <c r="A4" s="25" t="s">
        <v>396</v>
      </c>
      <c r="B4" s="10" t="s">
        <v>389</v>
      </c>
      <c r="C4" s="10" t="s">
        <v>142</v>
      </c>
      <c r="D4" s="26" t="s">
        <v>397</v>
      </c>
      <c r="E4" s="10" t="s">
        <v>398</v>
      </c>
      <c r="F4" s="26" t="s">
        <v>399</v>
      </c>
      <c r="G4" s="26" t="s">
        <v>400</v>
      </c>
      <c r="H4" s="10" t="s">
        <v>338</v>
      </c>
      <c r="I4" s="10" t="s">
        <v>401</v>
      </c>
      <c r="J4" s="10" t="s">
        <v>395</v>
      </c>
    </row>
    <row r="5" customFormat="false" ht="55.5" hidden="false" customHeight="true" outlineLevel="0" collapsed="false">
      <c r="A5" s="27" t="s">
        <v>402</v>
      </c>
      <c r="B5" s="7" t="s">
        <v>389</v>
      </c>
      <c r="C5" s="7" t="s">
        <v>146</v>
      </c>
      <c r="D5" s="28" t="s">
        <v>403</v>
      </c>
      <c r="E5" s="7" t="s">
        <v>398</v>
      </c>
      <c r="F5" s="28" t="s">
        <v>404</v>
      </c>
      <c r="G5" s="28" t="s">
        <v>405</v>
      </c>
      <c r="H5" s="7" t="s">
        <v>406</v>
      </c>
      <c r="I5" s="7" t="s">
        <v>401</v>
      </c>
      <c r="J5" s="7" t="s">
        <v>407</v>
      </c>
    </row>
    <row r="6" customFormat="false" ht="55.5" hidden="false" customHeight="true" outlineLevel="0" collapsed="false">
      <c r="A6" s="25" t="s">
        <v>408</v>
      </c>
      <c r="B6" s="10" t="s">
        <v>389</v>
      </c>
      <c r="C6" s="10" t="s">
        <v>260</v>
      </c>
      <c r="D6" s="26" t="s">
        <v>409</v>
      </c>
      <c r="E6" s="10" t="s">
        <v>391</v>
      </c>
      <c r="F6" s="26" t="s">
        <v>410</v>
      </c>
      <c r="G6" s="26" t="s">
        <v>411</v>
      </c>
      <c r="H6" s="10" t="s">
        <v>412</v>
      </c>
      <c r="I6" s="10" t="s">
        <v>413</v>
      </c>
      <c r="J6" s="10" t="s">
        <v>407</v>
      </c>
    </row>
  </sheetData>
  <mergeCells count="1">
    <mergeCell ref="A1:J1"/>
  </mergeCells>
  <dataValidations count="2">
    <dataValidation allowBlank="true" errorStyle="stop" operator="between" showDropDown="false" showErrorMessage="false" showInputMessage="false" sqref="E3:E6" type="list">
      <formula1>"Critical,High,Medium,Low"</formula1>
      <formula2>0</formula2>
    </dataValidation>
    <dataValidation allowBlank="true" errorStyle="stop" operator="between" showDropDown="false" showErrorMessage="false" showInputMessage="false" sqref="J3:J6" type="list">
      <formula1>"Open,In Progress,Remediated,Risk Accepted,Overdue"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2026-06-25T18:32:24Z</dcterms:created>
  <dc:creator>openpyxl</dc:creator>
  <dc:description/>
  <dc:language>en-US</dc:language>
  <cp:lastModifiedBy/>
  <dcterms:modified xsi:type="dcterms:W3CDTF">2026-06-25T18:32:24Z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