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auses 4-10" sheetId="2" state="visible" r:id="rId4"/>
    <sheet name="Annex A Controls" sheetId="3" state="visible" r:id="rId5"/>
    <sheet name="Risk Register" sheetId="4" state="visible" r:id="rId6"/>
    <sheet name="Statement of Applicability" sheetId="5" state="visible" r:id="rId7"/>
    <sheet name="Audit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<sst xmlns="http://schemas.openxmlformats.org/spreadsheetml/2006/main" count="1417" uniqueCount="811">
  <si>
    <t xml:space="preserve">ISO/IEC 27001:2022 — Information Security Management System</t>
  </si>
  <si>
    <t xml:space="preserve">Compliance Checklist &amp; Gap Assessment</t>
  </si>
  <si>
    <t xml:space="preserve">Organisation:</t>
  </si>
  <si>
    <t xml:space="preserve">Assessment Date:</t>
  </si>
  <si>
    <t xml:space="preserve">Scope:</t>
  </si>
  <si>
    <t xml:space="preserve">Assessor:</t>
  </si>
  <si>
    <t xml:space="preserve">Version:</t>
  </si>
  <si>
    <t xml:space="preserve">ISO/IEC 27001:2022</t>
  </si>
  <si>
    <t xml:space="preserve">Status:</t>
  </si>
  <si>
    <t xml:space="preserve">In Progress</t>
  </si>
  <si>
    <t xml:space="preserve">COMPLIANCE SUMMARY BY DOMAIN</t>
  </si>
  <si>
    <t xml:space="preserve">#</t>
  </si>
  <si>
    <t xml:space="preserve">Clause / Annex A Domain</t>
  </si>
  <si>
    <t xml:space="preserve">Total Controls</t>
  </si>
  <si>
    <t xml:space="preserve">Compliant</t>
  </si>
  <si>
    <t xml:space="preserve">Partial</t>
  </si>
  <si>
    <t xml:space="preserve">Non-Compliant</t>
  </si>
  <si>
    <t xml:space="preserve">N/A</t>
  </si>
  <si>
    <t xml:space="preserve">% Complete</t>
  </si>
  <si>
    <t xml:space="preserve">4</t>
  </si>
  <si>
    <t xml:space="preserve">Context of the Organisation</t>
  </si>
  <si>
    <t xml:space="preserve">5</t>
  </si>
  <si>
    <t xml:space="preserve">Leadership</t>
  </si>
  <si>
    <t xml:space="preserve">6</t>
  </si>
  <si>
    <t xml:space="preserve">Planning</t>
  </si>
  <si>
    <t xml:space="preserve">7</t>
  </si>
  <si>
    <t xml:space="preserve">Support</t>
  </si>
  <si>
    <t xml:space="preserve">8</t>
  </si>
  <si>
    <t xml:space="preserve">Operation</t>
  </si>
  <si>
    <t xml:space="preserve">9</t>
  </si>
  <si>
    <t xml:space="preserve">Performance Evaluation</t>
  </si>
  <si>
    <t xml:space="preserve">10</t>
  </si>
  <si>
    <t xml:space="preserve">Improvement</t>
  </si>
  <si>
    <t xml:space="preserve">A.5</t>
  </si>
  <si>
    <t xml:space="preserve">Information Security Policies</t>
  </si>
  <si>
    <t xml:space="preserve">A.6</t>
  </si>
  <si>
    <t xml:space="preserve">Organisation of Information Security</t>
  </si>
  <si>
    <t xml:space="preserve">A.7</t>
  </si>
  <si>
    <t xml:space="preserve">Human Resource Security</t>
  </si>
  <si>
    <t xml:space="preserve">A.8</t>
  </si>
  <si>
    <t xml:space="preserve">Asset Management</t>
  </si>
  <si>
    <t xml:space="preserve">A.9</t>
  </si>
  <si>
    <t xml:space="preserve">Access Control</t>
  </si>
  <si>
    <t xml:space="preserve">A.10</t>
  </si>
  <si>
    <t xml:space="preserve">Cryptography</t>
  </si>
  <si>
    <t xml:space="preserve">A.11</t>
  </si>
  <si>
    <t xml:space="preserve">Physical &amp; Environmental Security</t>
  </si>
  <si>
    <t xml:space="preserve">A.12</t>
  </si>
  <si>
    <t xml:space="preserve">Operations Security</t>
  </si>
  <si>
    <t xml:space="preserve">A.13</t>
  </si>
  <si>
    <t xml:space="preserve">Communications Security</t>
  </si>
  <si>
    <t xml:space="preserve">A.14</t>
  </si>
  <si>
    <t xml:space="preserve">System Acquisition, Development &amp; Maintenance</t>
  </si>
  <si>
    <t xml:space="preserve">A.15</t>
  </si>
  <si>
    <t xml:space="preserve">Supplier Relationships</t>
  </si>
  <si>
    <t xml:space="preserve">A.16</t>
  </si>
  <si>
    <t xml:space="preserve">Information Security Incident Management</t>
  </si>
  <si>
    <t xml:space="preserve">A.17</t>
  </si>
  <si>
    <t xml:space="preserve">Business Continuity Management</t>
  </si>
  <si>
    <t xml:space="preserve">A.18</t>
  </si>
  <si>
    <t xml:space="preserve">Compliance</t>
  </si>
  <si>
    <t xml:space="preserve">TOTAL</t>
  </si>
  <si>
    <t xml:space="preserve">STATUS LEGEND</t>
  </si>
  <si>
    <t xml:space="preserve">●</t>
  </si>
  <si>
    <t xml:space="preserve">Control is fully implemented and evidenced</t>
  </si>
  <si>
    <t xml:space="preserve">Control is partially implemented or lacks evidence</t>
  </si>
  <si>
    <t xml:space="preserve">Control is not implemented</t>
  </si>
  <si>
    <t xml:space="preserve">Control is not applicable to the scope</t>
  </si>
  <si>
    <t xml:space="preserve">Not Assessed</t>
  </si>
  <si>
    <t xml:space="preserve">Control has not yet been assessed</t>
  </si>
  <si>
    <t xml:space="preserve">ISO/IEC 27001:2022 — Clauses 4-10</t>
  </si>
  <si>
    <t xml:space="preserve">Ref</t>
  </si>
  <si>
    <t xml:space="preserve">Control Objective / Requirement</t>
  </si>
  <si>
    <t xml:space="preserve">Guidance / Key Evidence Required</t>
  </si>
  <si>
    <t xml:space="preserve">Status</t>
  </si>
  <si>
    <t xml:space="preserve">Owner</t>
  </si>
  <si>
    <t xml:space="preserve">Target Date</t>
  </si>
  <si>
    <t xml:space="preserve">Evidence Reference</t>
  </si>
  <si>
    <t xml:space="preserve">Gap / Finding</t>
  </si>
  <si>
    <t xml:space="preserve">Action Required</t>
  </si>
  <si>
    <t xml:space="preserve">CLAUSE 4 — CONTEXT OF THE ORGANISATION</t>
  </si>
  <si>
    <t xml:space="preserve">4.1</t>
  </si>
  <si>
    <t xml:space="preserve">Understanding the organisation and its context</t>
  </si>
  <si>
    <t xml:space="preserve">SWOT/PESTLE analysis; internal/external issues register; documented review cadence</t>
  </si>
  <si>
    <t xml:space="preserve">4.2</t>
  </si>
  <si>
    <t xml:space="preserve">Understanding needs and expectations of interested parties</t>
  </si>
  <si>
    <t xml:space="preserve">Stakeholder register; documented requirements and legal/regulatory obligations</t>
  </si>
  <si>
    <t xml:space="preserve">4.3</t>
  </si>
  <si>
    <t xml:space="preserve">Determining the scope of the ISMS</t>
  </si>
  <si>
    <t xml:space="preserve">Formal scope statement; justification for exclusions; approved by management</t>
  </si>
  <si>
    <t xml:space="preserve">4.4</t>
  </si>
  <si>
    <t xml:space="preserve">ISMS and its processes</t>
  </si>
  <si>
    <t xml:space="preserve">Process map or ISMS framework document; linkage to risk treatment plan</t>
  </si>
  <si>
    <t xml:space="preserve">CLAUSE 5 — LEADERSHIP</t>
  </si>
  <si>
    <t xml:space="preserve">5.1</t>
  </si>
  <si>
    <t xml:space="preserve">Leadership and commitment</t>
  </si>
  <si>
    <t xml:space="preserve">Management review minutes; signed IS policy; resource allocation records</t>
  </si>
  <si>
    <t xml:space="preserve">5.2</t>
  </si>
  <si>
    <t xml:space="preserve">Information Security Policy</t>
  </si>
  <si>
    <t xml:space="preserve">Approved IS policy; communication evidence; version control</t>
  </si>
  <si>
    <t xml:space="preserve">5.3</t>
  </si>
  <si>
    <t xml:space="preserve">Organisational roles, responsibilities and authorities</t>
  </si>
  <si>
    <t xml:space="preserve">RACI chart; job descriptions; delegation of authority matrix</t>
  </si>
  <si>
    <t xml:space="preserve">5.4</t>
  </si>
  <si>
    <t xml:space="preserve">Conflict of interest (new in 2022)</t>
  </si>
  <si>
    <t xml:space="preserve">Documented conflict-of-interest policy; declaration register</t>
  </si>
  <si>
    <t xml:space="preserve">5.5</t>
  </si>
  <si>
    <t xml:space="preserve">Communication with interested parties</t>
  </si>
  <si>
    <t xml:space="preserve">Communication plan; evidence of stakeholder comms</t>
  </si>
  <si>
    <t xml:space="preserve">5.6</t>
  </si>
  <si>
    <t xml:space="preserve">Management review</t>
  </si>
  <si>
    <t xml:space="preserve">Management review agenda/minutes at defined intervals</t>
  </si>
  <si>
    <t xml:space="preserve">CLAUSE 6 — PLANNING</t>
  </si>
  <si>
    <t xml:space="preserve">6.1.1</t>
  </si>
  <si>
    <t xml:space="preserve">Actions to address risks and opportunities — General</t>
  </si>
  <si>
    <t xml:space="preserve">Risk &amp; opportunity register; treatment decisions documented</t>
  </si>
  <si>
    <t xml:space="preserve">6.1.2</t>
  </si>
  <si>
    <t xml:space="preserve">Information security risk assessment</t>
  </si>
  <si>
    <t xml:space="preserve">Risk assessment methodology; asset register; threat/vulnerability analysis; risk register</t>
  </si>
  <si>
    <t xml:space="preserve">6.1.3</t>
  </si>
  <si>
    <t xml:space="preserve">Information security risk treatment</t>
  </si>
  <si>
    <t xml:space="preserve">Risk treatment plan; SoA referencing Annex A controls; acceptance sign-off</t>
  </si>
  <si>
    <t xml:space="preserve">6.2</t>
  </si>
  <si>
    <t xml:space="preserve">Information security objectives</t>
  </si>
  <si>
    <t xml:space="preserve">SMART objectives; linked to policy; measurement and review schedule</t>
  </si>
  <si>
    <t xml:space="preserve">6.3</t>
  </si>
  <si>
    <t xml:space="preserve">Planning of changes</t>
  </si>
  <si>
    <t xml:space="preserve">Change management procedure; change log</t>
  </si>
  <si>
    <t xml:space="preserve">6.4</t>
  </si>
  <si>
    <t xml:space="preserve">Information security continuity planning objectives (new in 2022)</t>
  </si>
  <si>
    <t xml:space="preserve">BCP objectives aligned to ISMS objectives; tested and reviewed</t>
  </si>
  <si>
    <t xml:space="preserve">CLAUSE 7 — SUPPORT</t>
  </si>
  <si>
    <t xml:space="preserve">7.1</t>
  </si>
  <si>
    <t xml:space="preserve">Resources</t>
  </si>
  <si>
    <t xml:space="preserve">Budget allocation; staffing plan; tool/technology procurement evidence</t>
  </si>
  <si>
    <t xml:space="preserve">7.2</t>
  </si>
  <si>
    <t xml:space="preserve">Competence</t>
  </si>
  <si>
    <t xml:space="preserve">Competency framework; training records; skills gap analysis</t>
  </si>
  <si>
    <t xml:space="preserve">7.3</t>
  </si>
  <si>
    <t xml:space="preserve">Awareness</t>
  </si>
  <si>
    <t xml:space="preserve">Security awareness programme; training completion records; phishing simulation results</t>
  </si>
  <si>
    <t xml:space="preserve">7.4</t>
  </si>
  <si>
    <t xml:space="preserve">Communication</t>
  </si>
  <si>
    <t xml:space="preserve">Internal/external communication procedure; notification templates</t>
  </si>
  <si>
    <t xml:space="preserve">7.5</t>
  </si>
  <si>
    <t xml:space="preserve">Documented information — General</t>
  </si>
  <si>
    <t xml:space="preserve">Document control procedure; master document list</t>
  </si>
  <si>
    <t xml:space="preserve">7.5.2</t>
  </si>
  <si>
    <t xml:space="preserve">Creating and updating documented information</t>
  </si>
  <si>
    <t xml:space="preserve">Document templates; version control; approval workflow</t>
  </si>
  <si>
    <t xml:space="preserve">7.5.3</t>
  </si>
  <si>
    <t xml:space="preserve">Control of documented information</t>
  </si>
  <si>
    <t xml:space="preserve">Access controls on documents; retention/disposal schedule</t>
  </si>
  <si>
    <t xml:space="preserve">7.6</t>
  </si>
  <si>
    <t xml:space="preserve">Externally provided processes, products, or services</t>
  </si>
  <si>
    <t xml:space="preserve">Supplier register; DPA/NDA templates; third-party risk process</t>
  </si>
  <si>
    <t xml:space="preserve">CLAUSE 8 — OPERATION</t>
  </si>
  <si>
    <t xml:space="preserve">8.1</t>
  </si>
  <si>
    <t xml:space="preserve">Operational planning and control</t>
  </si>
  <si>
    <t xml:space="preserve">Operational security plans; change management records</t>
  </si>
  <si>
    <t xml:space="preserve">8.2</t>
  </si>
  <si>
    <t xml:space="preserve">Information security risk assessment (operational)</t>
  </si>
  <si>
    <t xml:space="preserve">Periodic risk assessment reviews; risk register update cadence</t>
  </si>
  <si>
    <t xml:space="preserve">8.3</t>
  </si>
  <si>
    <t xml:space="preserve">Information security risk treatment (operational)</t>
  </si>
  <si>
    <t xml:space="preserve">Updated risk treatment plan; SoA review evidence</t>
  </si>
  <si>
    <t xml:space="preserve">8.4</t>
  </si>
  <si>
    <t xml:space="preserve">Technical vulnerability management</t>
  </si>
  <si>
    <t xml:space="preserve">Vulnerability scanning results; patch management records</t>
  </si>
  <si>
    <t xml:space="preserve">8.5</t>
  </si>
  <si>
    <t xml:space="preserve">Information security in supplier relationships</t>
  </si>
  <si>
    <t xml:space="preserve">Supplier security assessments; contract clauses; audit rights</t>
  </si>
  <si>
    <t xml:space="preserve">8.6</t>
  </si>
  <si>
    <t xml:space="preserve">Information security incident management</t>
  </si>
  <si>
    <t xml:space="preserve">Incident response plan; incident log; post-incident reviews</t>
  </si>
  <si>
    <t xml:space="preserve">CLAUSE 9 — PERFORMANCE EVALUATION</t>
  </si>
  <si>
    <t xml:space="preserve">9.1</t>
  </si>
  <si>
    <t xml:space="preserve">Monitoring, measurement, analysis and evaluation</t>
  </si>
  <si>
    <t xml:space="preserve">KPIs/KRIs defined; measurement results; dashboard/report</t>
  </si>
  <si>
    <t xml:space="preserve">9.2.1</t>
  </si>
  <si>
    <t xml:space="preserve">Internal audit — General</t>
  </si>
  <si>
    <t xml:space="preserve">Internal audit programme; audit schedule; audit charter</t>
  </si>
  <si>
    <t xml:space="preserve">9.2.2</t>
  </si>
  <si>
    <t xml:space="preserve">Internal audit — Programme</t>
  </si>
  <si>
    <t xml:space="preserve">Audit reports; non-conformance log; corrective action tracking</t>
  </si>
  <si>
    <t xml:space="preserve">9.3.1</t>
  </si>
  <si>
    <t xml:space="preserve">Management review — General</t>
  </si>
  <si>
    <t xml:space="preserve">Management review procedure; review schedule</t>
  </si>
  <si>
    <t xml:space="preserve">9.3.2</t>
  </si>
  <si>
    <t xml:space="preserve">Management review — Inputs</t>
  </si>
  <si>
    <t xml:space="preserve">Review pack with metrics, audit results, incidents, objectives progress</t>
  </si>
  <si>
    <t xml:space="preserve">CLAUSE 10 — IMPROVEMENT</t>
  </si>
  <si>
    <t xml:space="preserve">10.1</t>
  </si>
  <si>
    <t xml:space="preserve">Continual improvement</t>
  </si>
  <si>
    <t xml:space="preserve">Improvement register; evidence of iterative enhancements</t>
  </si>
  <si>
    <t xml:space="preserve">10.2</t>
  </si>
  <si>
    <t xml:space="preserve">Nonconformity and corrective action</t>
  </si>
  <si>
    <t xml:space="preserve">NCR process; root cause analysis records; corrective action plan</t>
  </si>
  <si>
    <t xml:space="preserve">10.3</t>
  </si>
  <si>
    <t xml:space="preserve">Preventive action</t>
  </si>
  <si>
    <t xml:space="preserve">Preventive action register; risk-based preventive measures</t>
  </si>
  <si>
    <t xml:space="preserve">10.4</t>
  </si>
  <si>
    <t xml:space="preserve">Lessons learned</t>
  </si>
  <si>
    <t xml:space="preserve">Lessons learned log from incidents and audits; shared with relevant stakeholders</t>
  </si>
  <si>
    <t xml:space="preserve">ISO/IEC 27001:2022 — Annex A Controls</t>
  </si>
  <si>
    <t xml:space="preserve">A.5 — INFORMATION SECURITY POLICIES</t>
  </si>
  <si>
    <t xml:space="preserve">A.5.1</t>
  </si>
  <si>
    <t xml:space="preserve">Policies for information security</t>
  </si>
  <si>
    <t xml:space="preserve">Approved IS policy suite; annual review cycle; communication records</t>
  </si>
  <si>
    <t xml:space="preserve">A.5.2</t>
  </si>
  <si>
    <t xml:space="preserve">Review of the policies for information security</t>
  </si>
  <si>
    <t xml:space="preserve">Policy review log; sign-off by CISO/management</t>
  </si>
  <si>
    <t xml:space="preserve">A.6 — ORGANISATION OF INFORMATION SECURITY</t>
  </si>
  <si>
    <t xml:space="preserve">A.6.1</t>
  </si>
  <si>
    <t xml:space="preserve">Information security roles and responsibilities</t>
  </si>
  <si>
    <t xml:space="preserve">RACI; role-specific security responsibilities in JDs</t>
  </si>
  <si>
    <t xml:space="preserve">A.6.2</t>
  </si>
  <si>
    <t xml:space="preserve">Segregation of duties</t>
  </si>
  <si>
    <t xml:space="preserve">Segregation matrix; access provisioning evidence</t>
  </si>
  <si>
    <t xml:space="preserve">A.6.3</t>
  </si>
  <si>
    <t xml:space="preserve">Contact with authorities</t>
  </si>
  <si>
    <t xml:space="preserve">Contact list for regulatory/law enforcement bodies; incident escalation procedure</t>
  </si>
  <si>
    <t xml:space="preserve">A.6.4</t>
  </si>
  <si>
    <t xml:space="preserve">Contact with special interest groups</t>
  </si>
  <si>
    <t xml:space="preserve">Memberships/subscriptions to CERT/ISAC/forums; threat intelligence feeds</t>
  </si>
  <si>
    <t xml:space="preserve">A.6.5</t>
  </si>
  <si>
    <t xml:space="preserve">Information security in project management</t>
  </si>
  <si>
    <t xml:space="preserve">Project risk assessment template; security review gates in SDLC</t>
  </si>
  <si>
    <t xml:space="preserve">A.6.6</t>
  </si>
  <si>
    <t xml:space="preserve">Remote working</t>
  </si>
  <si>
    <t xml:space="preserve">Remote working policy; VPN controls; device management evidence</t>
  </si>
  <si>
    <t xml:space="preserve">A.6.7</t>
  </si>
  <si>
    <t xml:space="preserve">Screening</t>
  </si>
  <si>
    <t xml:space="preserve">Background check policy; verification records for joiners</t>
  </si>
  <si>
    <t xml:space="preserve">A.7 — HUMAN RESOURCE SECURITY</t>
  </si>
  <si>
    <t xml:space="preserve">A.7.1</t>
  </si>
  <si>
    <t xml:space="preserve">Prior to employment — Screening</t>
  </si>
  <si>
    <t xml:space="preserve">Pre-employment screening policy; third-party check results</t>
  </si>
  <si>
    <t xml:space="preserve">A.7.2</t>
  </si>
  <si>
    <t xml:space="preserve">During employment</t>
  </si>
  <si>
    <t xml:space="preserve">Security awareness training; disciplinary procedure</t>
  </si>
  <si>
    <t xml:space="preserve">A.7.3</t>
  </si>
  <si>
    <t xml:space="preserve">Termination and change of employment</t>
  </si>
  <si>
    <t xml:space="preserve">Offboarding checklist; access revocation evidence within SLA</t>
  </si>
  <si>
    <t xml:space="preserve">A.7.4</t>
  </si>
  <si>
    <t xml:space="preserve">Information security awareness, education and training</t>
  </si>
  <si>
    <t xml:space="preserve">Annual training plan; completion metrics; phishing test results</t>
  </si>
  <si>
    <t xml:space="preserve">A.7.5</t>
  </si>
  <si>
    <t xml:space="preserve">Disciplinary process</t>
  </si>
  <si>
    <t xml:space="preserve">Documented disciplinary policy; HR case records</t>
  </si>
  <si>
    <t xml:space="preserve">A.7.6</t>
  </si>
  <si>
    <t xml:space="preserve">Non-disclosure agreements</t>
  </si>
  <si>
    <t xml:space="preserve">NDA template; signed NDAs for staff and contractors</t>
  </si>
  <si>
    <t xml:space="preserve">A.8 — ASSET MANAGEMENT</t>
  </si>
  <si>
    <t xml:space="preserve">A.8.1</t>
  </si>
  <si>
    <t xml:space="preserve">Inventory of assets</t>
  </si>
  <si>
    <t xml:space="preserve">Asset register; asset owner assigned; classification applied</t>
  </si>
  <si>
    <t xml:space="preserve">A.8.2</t>
  </si>
  <si>
    <t xml:space="preserve">Ownership of assets</t>
  </si>
  <si>
    <t xml:space="preserve">Ownership matrix; asset lifecycle management</t>
  </si>
  <si>
    <t xml:space="preserve">A.8.3</t>
  </si>
  <si>
    <t xml:space="preserve">Acceptable use of assets</t>
  </si>
  <si>
    <t xml:space="preserve">Acceptable use policy; user acknowledgement records</t>
  </si>
  <si>
    <t xml:space="preserve">A.8.4</t>
  </si>
  <si>
    <t xml:space="preserve">Return of assets</t>
  </si>
  <si>
    <t xml:space="preserve">Offboarding checklist; asset return confirmation</t>
  </si>
  <si>
    <t xml:space="preserve">A.8.5</t>
  </si>
  <si>
    <t xml:space="preserve">Classification of information</t>
  </si>
  <si>
    <t xml:space="preserve">Information classification scheme; labelling guidelines</t>
  </si>
  <si>
    <t xml:space="preserve">A.8.6</t>
  </si>
  <si>
    <t xml:space="preserve">Labelling of information</t>
  </si>
  <si>
    <t xml:space="preserve">Labelling procedures; examples of labelled documents/emails</t>
  </si>
  <si>
    <t xml:space="preserve">A.8.7</t>
  </si>
  <si>
    <t xml:space="preserve">Handling of assets</t>
  </si>
  <si>
    <t xml:space="preserve">Handling procedures; courier/secure disposal evidence</t>
  </si>
  <si>
    <t xml:space="preserve">A.8.8</t>
  </si>
  <si>
    <t xml:space="preserve">Management of removable media</t>
  </si>
  <si>
    <t xml:space="preserve">Removable media policy; DLP controls; media destruction records</t>
  </si>
  <si>
    <t xml:space="preserve">A.8.9</t>
  </si>
  <si>
    <t xml:space="preserve">Disposal of media</t>
  </si>
  <si>
    <t xml:space="preserve">Secure disposal SOP; destruction certificates</t>
  </si>
  <si>
    <t xml:space="preserve">A.8.10</t>
  </si>
  <si>
    <t xml:space="preserve">Data transfers</t>
  </si>
  <si>
    <t xml:space="preserve">Data transfer controls; encryption policy; approved tools list</t>
  </si>
  <si>
    <t xml:space="preserve">A.9 — ACCESS CONTROL</t>
  </si>
  <si>
    <t xml:space="preserve">A.9.1</t>
  </si>
  <si>
    <t xml:space="preserve">Access control policy</t>
  </si>
  <si>
    <t xml:space="preserve">Documented access control policy; role-based access model</t>
  </si>
  <si>
    <t xml:space="preserve">A.9.2</t>
  </si>
  <si>
    <t xml:space="preserve">Access to networks and network services</t>
  </si>
  <si>
    <t xml:space="preserve">Network access rules; VLAN segmentation; firewall policy</t>
  </si>
  <si>
    <t xml:space="preserve">A.9.3</t>
  </si>
  <si>
    <t xml:space="preserve">User registration and de-registration</t>
  </si>
  <si>
    <t xml:space="preserve">IAM procedures; joiners/leavers/movers process; review cadence</t>
  </si>
  <si>
    <t xml:space="preserve">A.9.4</t>
  </si>
  <si>
    <t xml:space="preserve">User access provisioning</t>
  </si>
  <si>
    <t xml:space="preserve">Access request/approval workflow; provisioning logs</t>
  </si>
  <si>
    <t xml:space="preserve">A.9.5</t>
  </si>
  <si>
    <t xml:space="preserve">Management of privileged access rights</t>
  </si>
  <si>
    <t xml:space="preserve">PAM solution; privileged account register; just-in-time access evidence</t>
  </si>
  <si>
    <t xml:space="preserve">A.9.6</t>
  </si>
  <si>
    <t xml:space="preserve">Management of secret authentication information</t>
  </si>
  <si>
    <t xml:space="preserve">Password policy; MFA enforcement; credential vault usage</t>
  </si>
  <si>
    <t xml:space="preserve">A.9.7</t>
  </si>
  <si>
    <t xml:space="preserve">Review of user access rights</t>
  </si>
  <si>
    <t xml:space="preserve">Quarterly access reviews; recertification records</t>
  </si>
  <si>
    <t xml:space="preserve">A.9.8</t>
  </si>
  <si>
    <t xml:space="preserve">Removal or adjustment of access rights</t>
  </si>
  <si>
    <t xml:space="preserve">Timely deprovisioning; SLA compliance evidence</t>
  </si>
  <si>
    <t xml:space="preserve">A.9.9</t>
  </si>
  <si>
    <t xml:space="preserve">Use of privileged utility programmes</t>
  </si>
  <si>
    <t xml:space="preserve">Whitelisted tools list; usage logs; change approval</t>
  </si>
  <si>
    <t xml:space="preserve">A.9.10</t>
  </si>
  <si>
    <t xml:space="preserve">Access control to programme source code</t>
  </si>
  <si>
    <t xml:space="preserve">Source code repository ACLs; developer access review</t>
  </si>
  <si>
    <t xml:space="preserve">A.9.11</t>
  </si>
  <si>
    <t xml:space="preserve">Authentication information</t>
  </si>
  <si>
    <t xml:space="preserve">MFA coverage; SSO implementation; session timeout settings</t>
  </si>
  <si>
    <t xml:space="preserve">A.9.12</t>
  </si>
  <si>
    <t xml:space="preserve">Secure log-on procedures</t>
  </si>
  <si>
    <t xml:space="preserve">Login banner; account lockout settings; SIEM log-on alerts</t>
  </si>
  <si>
    <t xml:space="preserve">A.9.13</t>
  </si>
  <si>
    <t xml:space="preserve">Password management system</t>
  </si>
  <si>
    <t xml:space="preserve">Password manager deployment; complexity enforcement settings</t>
  </si>
  <si>
    <t xml:space="preserve">A.9.14</t>
  </si>
  <si>
    <t xml:space="preserve">Use of privileged utility programs</t>
  </si>
  <si>
    <t xml:space="preserve">Tool usage policy; audit logs for admin utilities</t>
  </si>
  <si>
    <t xml:space="preserve">A.10 — CRYPTOGRAPHY</t>
  </si>
  <si>
    <t xml:space="preserve">A.10.1</t>
  </si>
  <si>
    <t xml:space="preserve">Policy on the use of cryptographic controls</t>
  </si>
  <si>
    <t xml:space="preserve">Encryption policy; approved algorithms list; key length standards</t>
  </si>
  <si>
    <t xml:space="preserve">A.10.2</t>
  </si>
  <si>
    <t xml:space="preserve">Key management</t>
  </si>
  <si>
    <t xml:space="preserve">Key management procedure; HSM/KMS usage; key rotation schedule</t>
  </si>
  <si>
    <t xml:space="preserve">A.11 — PHYSICAL &amp; ENVIRONMENTAL SECURITY</t>
  </si>
  <si>
    <t xml:space="preserve">A.11.1</t>
  </si>
  <si>
    <t xml:space="preserve">Physical security perimeters</t>
  </si>
  <si>
    <t xml:space="preserve">Site survey; access control systems; CCTV coverage</t>
  </si>
  <si>
    <t xml:space="preserve">A.11.2</t>
  </si>
  <si>
    <t xml:space="preserve">Physical entry</t>
  </si>
  <si>
    <t xml:space="preserve">Access logs; visitor register; mantrap/airlock evidence</t>
  </si>
  <si>
    <t xml:space="preserve">A.11.3</t>
  </si>
  <si>
    <t xml:space="preserve">Securing offices, rooms and facilities</t>
  </si>
  <si>
    <t xml:space="preserve">Lock audit; clean desk checks; secure print policy</t>
  </si>
  <si>
    <t xml:space="preserve">A.11.4</t>
  </si>
  <si>
    <t xml:space="preserve">Monitoring physical access</t>
  </si>
  <si>
    <t xml:space="preserve">CCTV retention policy; alert thresholds; guard rounds log</t>
  </si>
  <si>
    <t xml:space="preserve">A.11.5</t>
  </si>
  <si>
    <t xml:space="preserve">Protecting against physical and environmental threats</t>
  </si>
  <si>
    <t xml:space="preserve">Environmental monitoring; UPS/generator; flood/fire suppression</t>
  </si>
  <si>
    <t xml:space="preserve">A.11.6</t>
  </si>
  <si>
    <t xml:space="preserve">Working in secure areas</t>
  </si>
  <si>
    <t xml:space="preserve">Secure area procedures; escorted access policy</t>
  </si>
  <si>
    <t xml:space="preserve">A.11.7</t>
  </si>
  <si>
    <t xml:space="preserve">Clear desk and clear screen</t>
  </si>
  <si>
    <t xml:space="preserve">Policy; spot-check results; screensaver timeout settings</t>
  </si>
  <si>
    <t xml:space="preserve">A.11.8</t>
  </si>
  <si>
    <t xml:space="preserve">Supporting utilities</t>
  </si>
  <si>
    <t xml:space="preserve">Power/cooling/water infrastructure review; redundancy levels</t>
  </si>
  <si>
    <t xml:space="preserve">A.11.9</t>
  </si>
  <si>
    <t xml:space="preserve">Cabling security</t>
  </si>
  <si>
    <t xml:space="preserve">Cable management documentation; fibre protection evidence</t>
  </si>
  <si>
    <t xml:space="preserve">A.11.10</t>
  </si>
  <si>
    <t xml:space="preserve">Equipment maintenance</t>
  </si>
  <si>
    <t xml:space="preserve">Maintenance schedule; service records; out-of-hours controls</t>
  </si>
  <si>
    <t xml:space="preserve">A.11.11</t>
  </si>
  <si>
    <t xml:space="preserve">Security of assets off-premises</t>
  </si>
  <si>
    <t xml:space="preserve">Off-site asset register; encryption; travel security policy</t>
  </si>
  <si>
    <t xml:space="preserve">A.11.12</t>
  </si>
  <si>
    <t xml:space="preserve">Secure disposal or re-use of equipment</t>
  </si>
  <si>
    <t xml:space="preserve">Sanitisation procedure; destruction certificates; NIST 800-88 compliance</t>
  </si>
  <si>
    <t xml:space="preserve">A.11.13</t>
  </si>
  <si>
    <t xml:space="preserve">Unattended user equipment</t>
  </si>
  <si>
    <t xml:space="preserve">Policy; enforcement evidence; lock-screen audit</t>
  </si>
  <si>
    <t xml:space="preserve">A.11.14</t>
  </si>
  <si>
    <t xml:space="preserve">Removal of assets</t>
  </si>
  <si>
    <t xml:space="preserve">Asset removal authorisation form; gate pass log</t>
  </si>
  <si>
    <t xml:space="preserve">A.11.15</t>
  </si>
  <si>
    <t xml:space="preserve">Equipment and assets outside premises</t>
  </si>
  <si>
    <t xml:space="preserve">Inventory; encryption; insurance coverage</t>
  </si>
  <si>
    <t xml:space="preserve">A.12 — OPERATIONS SECURITY</t>
  </si>
  <si>
    <t xml:space="preserve">A.12.1</t>
  </si>
  <si>
    <t xml:space="preserve">Documented operating procedures</t>
  </si>
  <si>
    <t xml:space="preserve">SOPs published and version-controlled; change procedure</t>
  </si>
  <si>
    <t xml:space="preserve">A.12.2</t>
  </si>
  <si>
    <t xml:space="preserve">Change management</t>
  </si>
  <si>
    <t xml:space="preserve">Change management policy; CAB records; rollback plans</t>
  </si>
  <si>
    <t xml:space="preserve">A.12.3</t>
  </si>
  <si>
    <t xml:space="preserve">Capacity management</t>
  </si>
  <si>
    <t xml:space="preserve">Capacity plan; utilisation dashboards; scaling evidence</t>
  </si>
  <si>
    <t xml:space="preserve">A.12.4</t>
  </si>
  <si>
    <t xml:space="preserve">Separation of development, testing and operational environments</t>
  </si>
  <si>
    <t xml:space="preserve">Environment topology; deployment pipeline; network segregation</t>
  </si>
  <si>
    <t xml:space="preserve">A.12.5</t>
  </si>
  <si>
    <t xml:space="preserve">Controls against malware</t>
  </si>
  <si>
    <t xml:space="preserve">EDR/AV deployment; malware incident log; update cadence</t>
  </si>
  <si>
    <t xml:space="preserve">A.12.6</t>
  </si>
  <si>
    <t xml:space="preserve">Backup</t>
  </si>
  <si>
    <t xml:space="preserve">Backup policy; backup schedule; restoration test results</t>
  </si>
  <si>
    <t xml:space="preserve">A.12.7</t>
  </si>
  <si>
    <t xml:space="preserve">Logging and monitoring</t>
  </si>
  <si>
    <t xml:space="preserve">SIEM deployment; log retention policy; alert rules</t>
  </si>
  <si>
    <t xml:space="preserve">A.12.8</t>
  </si>
  <si>
    <t xml:space="preserve">Protection of log information</t>
  </si>
  <si>
    <t xml:space="preserve">Log integrity controls; RBAC on log access; immutability</t>
  </si>
  <si>
    <t xml:space="preserve">A.12.9</t>
  </si>
  <si>
    <t xml:space="preserve">Administrator and operator logs</t>
  </si>
  <si>
    <t xml:space="preserve">Privileged session logs; PAM audit trail; log review process</t>
  </si>
  <si>
    <t xml:space="preserve">A.12.10</t>
  </si>
  <si>
    <t xml:space="preserve">Clock synchronisation</t>
  </si>
  <si>
    <t xml:space="preserve">NTP configuration; time sync monitoring; audit trail accuracy</t>
  </si>
  <si>
    <t xml:space="preserve">A.12.11</t>
  </si>
  <si>
    <t xml:space="preserve">Installation of software on operational systems</t>
  </si>
  <si>
    <t xml:space="preserve">Software approval process; allowlisting; licence management</t>
  </si>
  <si>
    <t xml:space="preserve">A.12.12</t>
  </si>
  <si>
    <t xml:space="preserve">Vulnerability scanning schedule; CVSS scoring; SLA for remediation</t>
  </si>
  <si>
    <t xml:space="preserve">A.12.13</t>
  </si>
  <si>
    <t xml:space="preserve">Audit logging</t>
  </si>
  <si>
    <t xml:space="preserve">Comprehensive audit log coverage; retention ≥ 12 months</t>
  </si>
  <si>
    <t xml:space="preserve">A.12.14</t>
  </si>
  <si>
    <t xml:space="preserve">Network controls</t>
  </si>
  <si>
    <t xml:space="preserve">Firewall rules review; IDS/IPS evidence; network diagram</t>
  </si>
  <si>
    <t xml:space="preserve">A.13 — COMMUNICATIONS SECURITY</t>
  </si>
  <si>
    <t xml:space="preserve">A.13.1</t>
  </si>
  <si>
    <t xml:space="preserve">Firewall policy; network segmentation diagram; DMZ architecture</t>
  </si>
  <si>
    <t xml:space="preserve">A.13.2</t>
  </si>
  <si>
    <t xml:space="preserve">Segregation in networks</t>
  </si>
  <si>
    <t xml:space="preserve">VLAN design; micro-segmentation; zero-trust controls</t>
  </si>
  <si>
    <t xml:space="preserve">A.13.3</t>
  </si>
  <si>
    <t xml:space="preserve">Information transfer policies and procedures</t>
  </si>
  <si>
    <t xml:space="preserve">Data transfer policy; approved channels; DLP rules</t>
  </si>
  <si>
    <t xml:space="preserve">A.13.4</t>
  </si>
  <si>
    <t xml:space="preserve">Agreements on information transfer</t>
  </si>
  <si>
    <t xml:space="preserve">Data sharing agreements; DPAs; NDA coverage</t>
  </si>
  <si>
    <t xml:space="preserve">A.13.5</t>
  </si>
  <si>
    <t xml:space="preserve">Electronic messaging</t>
  </si>
  <si>
    <t xml:space="preserve">Email security (SPF/DKIM/DMARC); encryption for sensitive comms</t>
  </si>
  <si>
    <t xml:space="preserve">A.13.6</t>
  </si>
  <si>
    <t xml:space="preserve">Confidentiality or non-disclosure agreements</t>
  </si>
  <si>
    <t xml:space="preserve">NDA template; signed agreements register</t>
  </si>
  <si>
    <t xml:space="preserve">A.13.7</t>
  </si>
  <si>
    <t xml:space="preserve">Network services</t>
  </si>
  <si>
    <t xml:space="preserve">ISP SLAs; VPN/MPLS documentation; failover evidence</t>
  </si>
  <si>
    <t xml:space="preserve">A.14 — SYSTEM ACQUISITION, DEVELOPMENT &amp; MAINTENANCE</t>
  </si>
  <si>
    <t xml:space="preserve">A.14.1</t>
  </si>
  <si>
    <t xml:space="preserve">Security requirements of information systems</t>
  </si>
  <si>
    <t xml:space="preserve">Security requirements in specifications; SDLC gates</t>
  </si>
  <si>
    <t xml:space="preserve">A.14.2</t>
  </si>
  <si>
    <t xml:space="preserve">Security in development and support processes</t>
  </si>
  <si>
    <t xml:space="preserve">Secure coding standards; SAST/DAST results; code review evidence</t>
  </si>
  <si>
    <t xml:space="preserve">A.14.3</t>
  </si>
  <si>
    <t xml:space="preserve">Test data</t>
  </si>
  <si>
    <t xml:space="preserve">Test data management policy; anonymisation/masking evidence; DPIA if prod data used</t>
  </si>
  <si>
    <t xml:space="preserve">A.14.4</t>
  </si>
  <si>
    <t xml:space="preserve">Protecting application services transactions</t>
  </si>
  <si>
    <t xml:space="preserve">TLS enforcement; API security; anti-tampering controls</t>
  </si>
  <si>
    <t xml:space="preserve">A.14.5</t>
  </si>
  <si>
    <t xml:space="preserve">System acceptance testing</t>
  </si>
  <si>
    <t xml:space="preserve">Pentest reports; security acceptance criteria; sign-off records</t>
  </si>
  <si>
    <t xml:space="preserve">A.14.6</t>
  </si>
  <si>
    <t xml:space="preserve">Change control procedures</t>
  </si>
  <si>
    <t xml:space="preserve">Change management log; peer review; rollback procedure</t>
  </si>
  <si>
    <t xml:space="preserve">A.14.7</t>
  </si>
  <si>
    <t xml:space="preserve">Restrictions on changes to software packages</t>
  </si>
  <si>
    <t xml:space="preserve">Third-party software change policy; vendor communication</t>
  </si>
  <si>
    <t xml:space="preserve">A.14.8</t>
  </si>
  <si>
    <t xml:space="preserve">Secure system engineering principles</t>
  </si>
  <si>
    <t xml:space="preserve">DevSecOps pipeline; threat modelling records; architecture review</t>
  </si>
  <si>
    <t xml:space="preserve">A.14.9</t>
  </si>
  <si>
    <t xml:space="preserve">Secure development environment</t>
  </si>
  <si>
    <t xml:space="preserve">Dev environment security standards; secrets management; container scanning</t>
  </si>
  <si>
    <t xml:space="preserve">A.14.10</t>
  </si>
  <si>
    <t xml:space="preserve">Outsourced development</t>
  </si>
  <si>
    <t xml:space="preserve">Third-party SDLC requirements; code escrow; VAPT obligations</t>
  </si>
  <si>
    <t xml:space="preserve">A.14.11</t>
  </si>
  <si>
    <t xml:space="preserve">System security testing</t>
  </si>
  <si>
    <t xml:space="preserve">Regular VAPT schedule; findings tracker; remediation SLAs</t>
  </si>
  <si>
    <t xml:space="preserve">A.14.12</t>
  </si>
  <si>
    <t xml:space="preserve">System acceptance</t>
  </si>
  <si>
    <t xml:space="preserve">Security sign-off template; go-live criteria</t>
  </si>
  <si>
    <t xml:space="preserve">A.14.13</t>
  </si>
  <si>
    <t xml:space="preserve">Protection of test data</t>
  </si>
  <si>
    <t xml:space="preserve">Data masking tool; test environment isolation evidence</t>
  </si>
  <si>
    <t xml:space="preserve">A.15 — SUPPLIER RELATIONSHIPS</t>
  </si>
  <si>
    <t xml:space="preserve">A.15.1</t>
  </si>
  <si>
    <t xml:space="preserve">Information security policy for supplier relationships</t>
  </si>
  <si>
    <t xml:space="preserve">Supplier security policy; minimum security requirements schedule</t>
  </si>
  <si>
    <t xml:space="preserve">A.15.2</t>
  </si>
  <si>
    <t xml:space="preserve">Addressing security within supplier agreements</t>
  </si>
  <si>
    <t xml:space="preserve">DPA/ISPA template clauses; right-to-audit; breach notification SLA</t>
  </si>
  <si>
    <t xml:space="preserve">A.15.3</t>
  </si>
  <si>
    <t xml:space="preserve">ICT supply chain</t>
  </si>
  <si>
    <t xml:space="preserve">Supply chain risk register; critical supplier tiering; SBOM</t>
  </si>
  <si>
    <t xml:space="preserve">A.15.4</t>
  </si>
  <si>
    <t xml:space="preserve">Monitoring and review of supplier services</t>
  </si>
  <si>
    <t xml:space="preserve">Supplier performance reviews; audit results; incident history</t>
  </si>
  <si>
    <t xml:space="preserve">A.15.5</t>
  </si>
  <si>
    <t xml:space="preserve">Managing changes to supplier services</t>
  </si>
  <si>
    <t xml:space="preserve">Change notification clauses; impact assessment process</t>
  </si>
  <si>
    <t xml:space="preserve">A.16 — INFORMATION SECURITY INCIDENT MANAGEMENT</t>
  </si>
  <si>
    <t xml:space="preserve">A.16.1</t>
  </si>
  <si>
    <t xml:space="preserve">Responsibilities and procedures</t>
  </si>
  <si>
    <t xml:space="preserve">IRP documented; roles assigned; escalation matrix</t>
  </si>
  <si>
    <t xml:space="preserve">A.16.2</t>
  </si>
  <si>
    <t xml:space="preserve">Reporting information security events</t>
  </si>
  <si>
    <t xml:space="preserve">Incident reporting channels; awareness comms; triage criteria</t>
  </si>
  <si>
    <t xml:space="preserve">A.16.3</t>
  </si>
  <si>
    <t xml:space="preserve">Reporting information security weaknesses</t>
  </si>
  <si>
    <t xml:space="preserve">Responsible disclosure / VDP; staff reporting mechanism</t>
  </si>
  <si>
    <t xml:space="preserve">A.16.4</t>
  </si>
  <si>
    <t xml:space="preserve">Assessment of and decision on information security events</t>
  </si>
  <si>
    <t xml:space="preserve">Triage criteria; severity classification; decision log</t>
  </si>
  <si>
    <t xml:space="preserve">A.16.5</t>
  </si>
  <si>
    <t xml:space="preserve">Response to information security incidents</t>
  </si>
  <si>
    <t xml:space="preserve">IRP playbooks; evidence of tabletop exercises</t>
  </si>
  <si>
    <t xml:space="preserve">A.16.6</t>
  </si>
  <si>
    <t xml:space="preserve">Learning from information security incidents</t>
  </si>
  <si>
    <t xml:space="preserve">Post-incident review template; lessons learned log</t>
  </si>
  <si>
    <t xml:space="preserve">A.16.7</t>
  </si>
  <si>
    <t xml:space="preserve">Collection of evidence</t>
  </si>
  <si>
    <t xml:space="preserve">Digital forensics procedure; chain of custody form; evidence preservation</t>
  </si>
  <si>
    <t xml:space="preserve">A.17 — BUSINESS CONTINUITY MANAGEMENT</t>
  </si>
  <si>
    <t xml:space="preserve">A.17.1</t>
  </si>
  <si>
    <t xml:space="preserve">Planning information security continuity</t>
  </si>
  <si>
    <t xml:space="preserve">BCP/DR plan; ISMS continuity objectives; recovery strategies</t>
  </si>
  <si>
    <t xml:space="preserve">A.17.2</t>
  </si>
  <si>
    <t xml:space="preserve">Implementing information security continuity</t>
  </si>
  <si>
    <t xml:space="preserve">DR site; failover test evidence; RTO/RPO targets met</t>
  </si>
  <si>
    <t xml:space="preserve">A.17.3</t>
  </si>
  <si>
    <t xml:space="preserve">Verify, review and evaluate information security continuity</t>
  </si>
  <si>
    <t xml:space="preserve">Annual BCP/DR exercise; test results; improvement actions</t>
  </si>
  <si>
    <t xml:space="preserve">A.17.4</t>
  </si>
  <si>
    <t xml:space="preserve">Availability of information processing facilities</t>
  </si>
  <si>
    <t xml:space="preserve">Redundancy design; uptime SLAs; incident history</t>
  </si>
  <si>
    <t xml:space="preserve">A.18 — COMPLIANCE</t>
  </si>
  <si>
    <t xml:space="preserve">A.18.1</t>
  </si>
  <si>
    <t xml:space="preserve">Identification of applicable legislation and contractual requirements</t>
  </si>
  <si>
    <t xml:space="preserve">Legal/regulatory register; DPDP Act mapping; contract clause tracker</t>
  </si>
  <si>
    <t xml:space="preserve">A.18.2</t>
  </si>
  <si>
    <t xml:space="preserve">Intellectual property rights</t>
  </si>
  <si>
    <t xml:space="preserve">Software licence register; open-source policy; IPR procedures</t>
  </si>
  <si>
    <t xml:space="preserve">A.18.3</t>
  </si>
  <si>
    <t xml:space="preserve">Protection of records</t>
  </si>
  <si>
    <t xml:space="preserve">Records retention schedule; data classification; destruction log</t>
  </si>
  <si>
    <t xml:space="preserve">A.18.4</t>
  </si>
  <si>
    <t xml:space="preserve">Privacy and protection of personal information</t>
  </si>
  <si>
    <t xml:space="preserve">DPIA register; consent management; data subject rights procedure</t>
  </si>
  <si>
    <t xml:space="preserve">A.18.5</t>
  </si>
  <si>
    <t xml:space="preserve">Regulation of cryptographic controls</t>
  </si>
  <si>
    <t xml:space="preserve">Country-specific crypto controls register; import/export review</t>
  </si>
  <si>
    <t xml:space="preserve">A.18.6</t>
  </si>
  <si>
    <t xml:space="preserve">Independent review of information security</t>
  </si>
  <si>
    <t xml:space="preserve">Third-party audit plan; penetration test schedule; certification status</t>
  </si>
  <si>
    <t xml:space="preserve">A.18.7</t>
  </si>
  <si>
    <t xml:space="preserve">Compliance with security policies and standards</t>
  </si>
  <si>
    <t xml:space="preserve">Internal audit findings; compliance dashboard; exception register</t>
  </si>
  <si>
    <t xml:space="preserve">A.18.8</t>
  </si>
  <si>
    <t xml:space="preserve">Technical compliance review</t>
  </si>
  <si>
    <t xml:space="preserve">Vulnerability scan schedule; configuration compliance baseline; CIS benchmarks</t>
  </si>
  <si>
    <t xml:space="preserve">ISO 27001 — Information Security Risk Register</t>
  </si>
  <si>
    <t xml:space="preserve">Risk ID</t>
  </si>
  <si>
    <t xml:space="preserve">Asset / Process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</si>
  <si>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</si>
  <si>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</si>
  <si>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</si>
  <si>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</si>
  <si>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Inherent Risk Score</t>
  </si>
  <si>
    <t xml:space="preserve">Current Controls</t>
  </si>
  <si>
    <t xml:space="preserve">Residual Likelihood</t>
  </si>
  <si>
    <t xml:space="preserve">Residual Impact</t>
  </si>
  <si>
    <t xml:space="preserve">Residual Risk Score</t>
  </si>
  <si>
    <t xml:space="preserve">Treatment Decision</t>
  </si>
  <si>
    <t xml:space="preserve">R-001</t>
  </si>
  <si>
    <t xml:space="preserve">Customer PII Database</t>
  </si>
  <si>
    <t xml:space="preserve">Ransomware attack</t>
  </si>
  <si>
    <t xml:space="preserve">Unpatched OS vulnerabilities</t>
  </si>
  <si>
    <t xml:space="preserve">EDR, patch management, backups</t>
  </si>
  <si>
    <t xml:space="preserve">Treat</t>
  </si>
  <si>
    <t xml:space="preserve">R-002</t>
  </si>
  <si>
    <t xml:space="preserve">Internet-facing Web App</t>
  </si>
  <si>
    <t xml:space="preserve">SQL Injection</t>
  </si>
  <si>
    <t xml:space="preserve">Insufficient input validation</t>
  </si>
  <si>
    <t xml:space="preserve">WAF, code review, DAST scanning</t>
  </si>
  <si>
    <t xml:space="preserve">R-003</t>
  </si>
  <si>
    <t xml:space="preserve">Employee Workstations</t>
  </si>
  <si>
    <t xml:space="preserve">Phishing / BEC</t>
  </si>
  <si>
    <t xml:space="preserve">Lack of MFA</t>
  </si>
  <si>
    <t xml:space="preserve">Spam filter, security awareness training</t>
  </si>
  <si>
    <t xml:space="preserve">R-004</t>
  </si>
  <si>
    <t xml:space="preserve">Payment Processing System</t>
  </si>
  <si>
    <t xml:space="preserve">Insider threat / data theft</t>
  </si>
  <si>
    <t xml:space="preserve">Excessive privileges</t>
  </si>
  <si>
    <t xml:space="preserve">PAM, access reviews, DLP</t>
  </si>
  <si>
    <t xml:space="preserve">R-005</t>
  </si>
  <si>
    <t xml:space="preserve">Cloud Infrastructure (AWS/GCP)</t>
  </si>
  <si>
    <t xml:space="preserve">Misconfiguration exposure</t>
  </si>
  <si>
    <t xml:space="preserve">No CSPM tooling</t>
  </si>
  <si>
    <t xml:space="preserve">CSPM, IaC security scanning</t>
  </si>
  <si>
    <t xml:space="preserve">R-006</t>
  </si>
  <si>
    <t xml:space="preserve">Third-party API Integrations</t>
  </si>
  <si>
    <t xml:space="preserve">Supply chain compromise</t>
  </si>
  <si>
    <t xml:space="preserve">Limited supplier security vetting</t>
  </si>
  <si>
    <t xml:space="preserve">Supplier risk assessments, contract clauses</t>
  </si>
  <si>
    <t xml:space="preserve">R-007</t>
  </si>
  <si>
    <t xml:space="preserve">Backup &amp; Recovery</t>
  </si>
  <si>
    <t xml:space="preserve">Backup failure / corruption</t>
  </si>
  <si>
    <t xml:space="preserve">No restoration testing</t>
  </si>
  <si>
    <t xml:space="preserve">Backup monitoring, quarterly restore tests</t>
  </si>
  <si>
    <t xml:space="preserve">RISK SCORING GUIDE:  Low (1-5) = GREEN   Medium (6-12) = AMBER   High (13-25) = RED   Likelihood &amp; Impact rated 1 (Very Low) to 5 (Very High)</t>
  </si>
  <si>
    <t xml:space="preserve">ISO/IEC 27001:2022 — Statement of Applicability (SoA)</t>
  </si>
  <si>
    <t xml:space="preserve">Control Ref</t>
  </si>
  <si>
    <t xml:space="preserve">Control Name</t>
  </si>
  <si>
    <t xml:space="preserve">Included (Y/N)</t>
  </si>
  <si>
    <t xml:space="preserve">Justification for Inclusion/Exclusion</t>
  </si>
  <si>
    <t xml:space="preserve">Implementation Status</t>
  </si>
  <si>
    <t xml:space="preserve">Responsible Owner</t>
  </si>
  <si>
    <t xml:space="preserve">Notes</t>
  </si>
  <si>
    <t xml:space="preserve">Y</t>
  </si>
  <si>
    <t xml:space="preserve">Mandatory — defines ISMS policy framework</t>
  </si>
  <si>
    <t xml:space="preserve">Not Started</t>
  </si>
  <si>
    <t xml:space="preserve">Review of IS policies</t>
  </si>
  <si>
    <t xml:space="preserve">Mandatory — ensures policy currency</t>
  </si>
  <si>
    <t xml:space="preserve">IS roles and responsibilities</t>
  </si>
  <si>
    <t xml:space="preserve">Required to define accountability</t>
  </si>
  <si>
    <t xml:space="preserve">Critical for fintech/NBFC environments</t>
  </si>
  <si>
    <t xml:space="preserve">Regulatory requirement (RBI, CERT-In)</t>
  </si>
  <si>
    <t xml:space="preserve">Threat intelligence sourcing</t>
  </si>
  <si>
    <t xml:space="preserve">IS in project management</t>
  </si>
  <si>
    <t xml:space="preserve">SDLC security integration</t>
  </si>
  <si>
    <t xml:space="preserve">Applicable — hybrid workforce</t>
  </si>
  <si>
    <t xml:space="preserve">Regulatory expectation for fintech</t>
  </si>
  <si>
    <t xml:space="preserve">Screening (pre-employment)</t>
  </si>
  <si>
    <t xml:space="preserve">HR security baseline</t>
  </si>
  <si>
    <t xml:space="preserve">Ongoing security obligation</t>
  </si>
  <si>
    <t xml:space="preserve">Termination/change</t>
  </si>
  <si>
    <t xml:space="preserve">Access lifecycle management</t>
  </si>
  <si>
    <t xml:space="preserve">Security awareness, education and training</t>
  </si>
  <si>
    <t xml:space="preserve">Mandatory awareness programme</t>
  </si>
  <si>
    <t xml:space="preserve">Policy enforcement mechanism</t>
  </si>
  <si>
    <t xml:space="preserve">Data confidentiality obligations</t>
  </si>
  <si>
    <t xml:space="preserve">Foundation control — all assets</t>
  </si>
  <si>
    <t xml:space="preserve">Accountability framework</t>
  </si>
  <si>
    <t xml:space="preserve">Behavioural baseline</t>
  </si>
  <si>
    <t xml:space="preserve">Offboarding control</t>
  </si>
  <si>
    <t xml:space="preserve">Data governance requirement</t>
  </si>
  <si>
    <t xml:space="preserve">Classification enforcement</t>
  </si>
  <si>
    <t xml:space="preserve">Physical and digital handling</t>
  </si>
  <si>
    <t xml:space="preserve">DLP and data exfiltration control</t>
  </si>
  <si>
    <t xml:space="preserve">DPDP Act / data minimisation</t>
  </si>
  <si>
    <t xml:space="preserve">API/cloud data movement controls</t>
  </si>
  <si>
    <t xml:space="preserve">IAM framework foundation</t>
  </si>
  <si>
    <t xml:space="preserve">Access to networks</t>
  </si>
  <si>
    <t xml:space="preserve">Network access management</t>
  </si>
  <si>
    <t xml:space="preserve">IAM lifecycle</t>
  </si>
  <si>
    <t xml:space="preserve">Least-privilege enforcement</t>
  </si>
  <si>
    <t xml:space="preserve">Privileged access rights</t>
  </si>
  <si>
    <t xml:space="preserve">PAM — critical for NBFC</t>
  </si>
  <si>
    <t xml:space="preserve">Secret authentication information</t>
  </si>
  <si>
    <t xml:space="preserve">Credential management</t>
  </si>
  <si>
    <t xml:space="preserve">Periodic access certification</t>
  </si>
  <si>
    <t xml:space="preserve">Removal/adjustment of access rights</t>
  </si>
  <si>
    <t xml:space="preserve">Offboarding SLA compliance</t>
  </si>
  <si>
    <t xml:space="preserve">Admin tool control</t>
  </si>
  <si>
    <t xml:space="preserve">Access to source code</t>
  </si>
  <si>
    <t xml:space="preserve">IP and integrity protection</t>
  </si>
  <si>
    <t xml:space="preserve">MFA enforcement</t>
  </si>
  <si>
    <t xml:space="preserve">Secure log-on</t>
  </si>
  <si>
    <t xml:space="preserve">Account security baseline</t>
  </si>
  <si>
    <t xml:space="preserve">Password hygiene</t>
  </si>
  <si>
    <t xml:space="preserve">Duplicate — map to A.9.9</t>
  </si>
  <si>
    <t xml:space="preserve">Cryptographic controls policy</t>
  </si>
  <si>
    <t xml:space="preserve">Encryption standards</t>
  </si>
  <si>
    <t xml:space="preserve">PKI / KMS / HSM</t>
  </si>
  <si>
    <t xml:space="preserve">Data centre / office controls</t>
  </si>
  <si>
    <t xml:space="preserve">Physical entry controls</t>
  </si>
  <si>
    <t xml:space="preserve">Access management</t>
  </si>
  <si>
    <t xml:space="preserve">Securing offices/rooms</t>
  </si>
  <si>
    <t xml:space="preserve">Physical security</t>
  </si>
  <si>
    <t xml:space="preserve">CCTV / logs</t>
  </si>
  <si>
    <t xml:space="preserve">Physical &amp; environmental threats</t>
  </si>
  <si>
    <t xml:space="preserve">Environmental controls</t>
  </si>
  <si>
    <t xml:space="preserve">Clean room / secure zone policy</t>
  </si>
  <si>
    <t xml:space="preserve">Clear desk/clear screen</t>
  </si>
  <si>
    <t xml:space="preserve">Policy enforced</t>
  </si>
  <si>
    <t xml:space="preserve">UPS / power / cooling</t>
  </si>
  <si>
    <t xml:space="preserve">Physical infra protection</t>
  </si>
  <si>
    <t xml:space="preserve">Maintenance schedule</t>
  </si>
  <si>
    <t xml:space="preserve">Equipment off-premises</t>
  </si>
  <si>
    <t xml:space="preserve">Laptop / mobile policy</t>
  </si>
  <si>
    <t xml:space="preserve">Secure disposal/re-use</t>
  </si>
  <si>
    <t xml:space="preserve">NIST 800-88 / DPDP</t>
  </si>
  <si>
    <t xml:space="preserve">Screen lock policy</t>
  </si>
  <si>
    <t xml:space="preserve">Asset movement controls</t>
  </si>
  <si>
    <t xml:space="preserve">Assets outside premises</t>
  </si>
  <si>
    <t xml:space="preserve">Remote/portable asset policy</t>
  </si>
  <si>
    <t xml:space="preserve">Operational SOPs</t>
  </si>
  <si>
    <t xml:space="preserve">Change control process</t>
  </si>
  <si>
    <t xml:space="preserve">Performance and scaling</t>
  </si>
  <si>
    <t xml:space="preserve">Separation of environments</t>
  </si>
  <si>
    <t xml:space="preserve">Dev/Test/Prod segregation</t>
  </si>
  <si>
    <t xml:space="preserve">EDR / AV</t>
  </si>
  <si>
    <t xml:space="preserve">RPO/RTO compliance</t>
  </si>
  <si>
    <t xml:space="preserve">SIEM deployment</t>
  </si>
  <si>
    <t xml:space="preserve">Log integrity</t>
  </si>
  <si>
    <t xml:space="preserve">PAM audit trail</t>
  </si>
  <si>
    <t xml:space="preserve">Audit trail accuracy</t>
  </si>
  <si>
    <t xml:space="preserve">Software installation controls</t>
  </si>
  <si>
    <t xml:space="preserve">Allowlisting</t>
  </si>
  <si>
    <t xml:space="preserve">VAPT programme</t>
  </si>
  <si>
    <t xml:space="preserve">Comprehensive log coverage</t>
  </si>
  <si>
    <t xml:space="preserve">Firewall / IDS</t>
  </si>
  <si>
    <t xml:space="preserve">Network security</t>
  </si>
  <si>
    <t xml:space="preserve">VLAN / micro-segmentation</t>
  </si>
  <si>
    <t xml:space="preserve">Information transfer policies</t>
  </si>
  <si>
    <t xml:space="preserve">Data in transit</t>
  </si>
  <si>
    <t xml:space="preserve">DPA / data sharing</t>
  </si>
  <si>
    <t xml:space="preserve">Email security</t>
  </si>
  <si>
    <t xml:space="preserve">Confidentiality</t>
  </si>
  <si>
    <t xml:space="preserve">ISP / VPN / MPLS</t>
  </si>
  <si>
    <t xml:space="preserve">Security requirements of IS</t>
  </si>
  <si>
    <t xml:space="preserve">SDLC security gate</t>
  </si>
  <si>
    <t xml:space="preserve">Security in development</t>
  </si>
  <si>
    <t xml:space="preserve">Secure coding</t>
  </si>
  <si>
    <t xml:space="preserve">Data masking for testing</t>
  </si>
  <si>
    <t xml:space="preserve">Application services transactions</t>
  </si>
  <si>
    <t xml:space="preserve">TLS / API security</t>
  </si>
  <si>
    <t xml:space="preserve">Pentest before go-live</t>
  </si>
  <si>
    <t xml:space="preserve">Restrictions on software changes</t>
  </si>
  <si>
    <t xml:space="preserve">Third-party SW policy</t>
  </si>
  <si>
    <t xml:space="preserve">Secure system engineering</t>
  </si>
  <si>
    <t xml:space="preserve">Threat modelling</t>
  </si>
  <si>
    <t xml:space="preserve">DevSecOps</t>
  </si>
  <si>
    <t xml:space="preserve">Third-party SDLC</t>
  </si>
  <si>
    <t xml:space="preserve">VAPT cadence</t>
  </si>
  <si>
    <t xml:space="preserve">Go-live security sign-off</t>
  </si>
  <si>
    <t xml:space="preserve">Data masking evidence</t>
  </si>
  <si>
    <t xml:space="preserve">IS policy for supplier relationships</t>
  </si>
  <si>
    <t xml:space="preserve">Supplier security standards</t>
  </si>
  <si>
    <t xml:space="preserve">Security within supplier agreements</t>
  </si>
  <si>
    <t xml:space="preserve">DPA / ISPA clauses</t>
  </si>
  <si>
    <t xml:space="preserve">Supply chain risk</t>
  </si>
  <si>
    <t xml:space="preserve">Monitoring/review of supplier services</t>
  </si>
  <si>
    <t xml:space="preserve">Supplier audits</t>
  </si>
  <si>
    <t xml:space="preserve">Change notification</t>
  </si>
  <si>
    <t xml:space="preserve">IRP defined</t>
  </si>
  <si>
    <t xml:space="preserve">Reporting IS events</t>
  </si>
  <si>
    <t xml:space="preserve">Incident reporting channels</t>
  </si>
  <si>
    <t xml:space="preserve">Reporting IS weaknesses</t>
  </si>
  <si>
    <t xml:space="preserve">VDP / responsible disclosure</t>
  </si>
  <si>
    <t xml:space="preserve">Assessment of IS events</t>
  </si>
  <si>
    <t xml:space="preserve">Triage and classification</t>
  </si>
  <si>
    <t xml:space="preserve">Response to IS incidents</t>
  </si>
  <si>
    <t xml:space="preserve">IRP playbooks</t>
  </si>
  <si>
    <t xml:space="preserve">Learning from IS incidents</t>
  </si>
  <si>
    <t xml:space="preserve">Post-incident review</t>
  </si>
  <si>
    <t xml:space="preserve">Digital forensics</t>
  </si>
  <si>
    <t xml:space="preserve">IS continuity planning</t>
  </si>
  <si>
    <t xml:space="preserve">BCP/DR aligned to ISMS</t>
  </si>
  <si>
    <t xml:space="preserve">Implementing IS continuity</t>
  </si>
  <si>
    <t xml:space="preserve">DR tests</t>
  </si>
  <si>
    <t xml:space="preserve">Verify IS continuity</t>
  </si>
  <si>
    <t xml:space="preserve">Annual BCP exercise</t>
  </si>
  <si>
    <t xml:space="preserve">Availability of processing facilities</t>
  </si>
  <si>
    <t xml:space="preserve">Redundancy / HA design</t>
  </si>
  <si>
    <t xml:space="preserve">Identification of applicable legislation</t>
  </si>
  <si>
    <t xml:space="preserve">Legal register — DPDP, RBI, IT Act</t>
  </si>
  <si>
    <t xml:space="preserve">Licence management</t>
  </si>
  <si>
    <t xml:space="preserve">Retention schedule</t>
  </si>
  <si>
    <t xml:space="preserve">Privacy and protection of PII</t>
  </si>
  <si>
    <t xml:space="preserve">DPDP Act compliance</t>
  </si>
  <si>
    <t xml:space="preserve">India export/import rules</t>
  </si>
  <si>
    <t xml:space="preserve">Independent review of IS</t>
  </si>
  <si>
    <t xml:space="preserve">Third-party audit / ISO cert</t>
  </si>
  <si>
    <t xml:space="preserve">Compliance with security policies</t>
  </si>
  <si>
    <t xml:space="preserve">Internal audit</t>
  </si>
  <si>
    <t xml:space="preserve">Config compliance / benchmarks</t>
  </si>
  <si>
    <t xml:space="preserve">ISO 27001 — Internal Audit &amp; Non-Conformance Tracker</t>
  </si>
  <si>
    <t xml:space="preserve">NCR ID</t>
  </si>
  <si>
    <t xml:space="preserve">Audit Date</t>
  </si>
  <si>
    <t xml:space="preserve">Clause / Control</t>
  </si>
  <si>
    <t xml:space="preserve">Finding Description</t>
  </si>
  <si>
    <t xml:space="preserve">Classification</t>
  </si>
  <si>
    <t xml:space="preserve">Root Cause</t>
  </si>
  <si>
    <t xml:space="preserve">Corrective Action</t>
  </si>
  <si>
    <t xml:space="preserve">Target Completion</t>
  </si>
  <si>
    <t xml:space="preserve">NCR-001</t>
  </si>
  <si>
    <t xml:space="preserve">2024-01-15</t>
  </si>
  <si>
    <t xml:space="preserve">Quarterly access reviews not completed for Q3 2023; 43 accounts not reviewed</t>
  </si>
  <si>
    <t xml:space="preserve">Minor Non-Conformity</t>
  </si>
  <si>
    <t xml:space="preserve">No automated reminder process for access review cycle</t>
  </si>
  <si>
    <t xml:space="preserve">Implement automated access review workflow in IAM tool; schedule Q3 catch-up review</t>
  </si>
  <si>
    <t xml:space="preserve">IT Security</t>
  </si>
  <si>
    <t xml:space="preserve">2024-02-28</t>
  </si>
  <si>
    <t xml:space="preserve">NCR-002</t>
  </si>
  <si>
    <t xml:space="preserve">Backup restoration testing not performed in the last 12 months</t>
  </si>
  <si>
    <t xml:space="preserve">Major Non-Conformity</t>
  </si>
  <si>
    <t xml:space="preserve">No formal backup test schedule in operational calendar</t>
  </si>
  <si>
    <t xml:space="preserve">Schedule and complete full backup restoration test; document results; create quarterly test calendar</t>
  </si>
  <si>
    <t xml:space="preserve">Infrastructure</t>
  </si>
  <si>
    <t xml:space="preserve">2024-02-15</t>
  </si>
  <si>
    <t xml:space="preserve">NCR-003</t>
  </si>
  <si>
    <t xml:space="preserve">Security awareness training completion rate at 61%; target is 95%</t>
  </si>
  <si>
    <t xml:space="preserve">Training not mandated in onboarding checklist; no escalation for non-completion</t>
  </si>
  <si>
    <t xml:space="preserve">Mandate training in onboarding; add completion metric to HR dashboard; escalate non-completions at 30 days</t>
  </si>
  <si>
    <t xml:space="preserve">HR / People Ops</t>
  </si>
  <si>
    <t xml:space="preserve">2024-03-01</t>
  </si>
  <si>
    <t xml:space="preserve">Open</t>
  </si>
  <si>
    <t xml:space="preserve">NCR-004</t>
  </si>
  <si>
    <t xml:space="preserve">Critical CVE (CVSS ≥9) remediation SLA exceeded by average of 22 days</t>
  </si>
  <si>
    <t xml:space="preserve">No automated CVSS-based prioritisation; manual tracking in spreadsheet</t>
  </si>
  <si>
    <t xml:space="preserve">Deploy vulnerability management platform; define SLA tiers; automate alerting for critical CVEs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</si>
</sst>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B050"/>
      <name val="Arial"/>
      <family val="0"/>
      <charset val="1"/>
    </font>
    <font>
      <b val="true"/>
      <sz val="14"/>
      <color rgb="FFFFC000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4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A6" s="3" t="s">
        <v>2</v>
      </c>
      <c r="B6" s="3"/>
      <c r="C6" s="4"/>
      <c r="D6" s="4"/>
      <c r="E6" s="3" t="s">
        <v>3</v>
      </c>
      <c r="F6" s="3"/>
      <c r="G6" s="4"/>
      <c r="H6" s="4"/>
    </row>
    <row r="7" customFormat="false" ht="15" hidden="false" customHeight="true" outlineLevel="0" collapsed="false">
      <c r="A7" s="3" t="s">
        <v>4</v>
      </c>
      <c r="B7" s="3"/>
      <c r="C7" s="4"/>
      <c r="D7" s="4"/>
      <c r="E7" s="3" t="s">
        <v>5</v>
      </c>
      <c r="F7" s="3"/>
      <c r="G7" s="4"/>
      <c r="H7" s="4"/>
    </row>
    <row r="8" customFormat="false" ht="15" hidden="false" customHeight="true" outlineLevel="0" collapsed="false">
      <c r="A8" s="3" t="s">
        <v>6</v>
      </c>
      <c r="B8" s="3"/>
      <c r="C8" s="4" t="s">
        <v>7</v>
      </c>
      <c r="D8" s="4"/>
      <c r="E8" s="3" t="s">
        <v>8</v>
      </c>
      <c r="F8" s="3"/>
      <c r="G8" s="4" t="s">
        <v>9</v>
      </c>
      <c r="H8" s="4"/>
    </row>
    <row r="10" customFormat="false" ht="21.75" hidden="false" customHeight="true" outlineLevel="0" collapsed="false">
      <c r="A10" s="5" t="s">
        <v>10</v>
      </c>
      <c r="B10" s="5"/>
      <c r="C10" s="5"/>
      <c r="D10" s="5"/>
      <c r="E10" s="5"/>
      <c r="F10" s="5"/>
      <c r="G10" s="5"/>
      <c r="H10" s="5"/>
    </row>
    <row r="11" customFormat="false" ht="39.75" hidden="false" customHeight="true" outlineLevel="0" collapsed="false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6" t="s">
        <v>17</v>
      </c>
      <c r="H11" s="6" t="s">
        <v>18</v>
      </c>
    </row>
    <row r="12" customFormat="false" ht="21.75" hidden="false" customHeight="true" outlineLevel="0" collapsed="false">
      <c r="A12" s="7" t="s">
        <v>19</v>
      </c>
      <c r="B12" s="8" t="s">
        <v>20</v>
      </c>
      <c r="C12" s="7" t="n">
        <v>4</v>
      </c>
      <c r="D12" s="7"/>
      <c r="E12" s="7"/>
      <c r="F12" s="7"/>
      <c r="G12" s="7"/>
      <c r="H12" s="9" t="n">
        <f aca="false">IF(C12=0,"",IFERROR((D12+0.5*E12)/C12,0))</f>
        <v>0</v>
      </c>
    </row>
    <row r="13" customFormat="false" ht="21.75" hidden="false" customHeight="true" outlineLevel="0" collapsed="false">
      <c r="A13" s="10" t="s">
        <v>21</v>
      </c>
      <c r="B13" s="11" t="s">
        <v>22</v>
      </c>
      <c r="C13" s="10" t="n">
        <v>6</v>
      </c>
      <c r="D13" s="10"/>
      <c r="E13" s="10"/>
      <c r="F13" s="10"/>
      <c r="G13" s="10"/>
      <c r="H13" s="12" t="n">
        <f aca="false">IF(C13=0,"",IFERROR((D13+0.5*E13)/C13,0))</f>
        <v>0</v>
      </c>
    </row>
    <row r="14" customFormat="false" ht="21.75" hidden="false" customHeight="true" outlineLevel="0" collapsed="false">
      <c r="A14" s="7" t="s">
        <v>23</v>
      </c>
      <c r="B14" s="8" t="s">
        <v>24</v>
      </c>
      <c r="C14" s="7" t="n">
        <v>7</v>
      </c>
      <c r="D14" s="7"/>
      <c r="E14" s="7"/>
      <c r="F14" s="7"/>
      <c r="G14" s="7"/>
      <c r="H14" s="9" t="n">
        <f aca="false">IF(C14=0,"",IFERROR((D14+0.5*E14)/C14,0))</f>
        <v>0</v>
      </c>
    </row>
    <row r="15" customFormat="false" ht="21.75" hidden="false" customHeight="true" outlineLevel="0" collapsed="false">
      <c r="A15" s="10" t="s">
        <v>25</v>
      </c>
      <c r="B15" s="11" t="s">
        <v>26</v>
      </c>
      <c r="C15" s="10" t="n">
        <v>8</v>
      </c>
      <c r="D15" s="10"/>
      <c r="E15" s="10"/>
      <c r="F15" s="10"/>
      <c r="G15" s="10"/>
      <c r="H15" s="12" t="n">
        <f aca="false">IF(C15=0,"",IFERROR((D15+0.5*E15)/C15,0))</f>
        <v>0</v>
      </c>
    </row>
    <row r="16" customFormat="false" ht="21.75" hidden="false" customHeight="true" outlineLevel="0" collapsed="false">
      <c r="A16" s="7" t="s">
        <v>27</v>
      </c>
      <c r="B16" s="8" t="s">
        <v>28</v>
      </c>
      <c r="C16" s="7" t="n">
        <v>6</v>
      </c>
      <c r="D16" s="7"/>
      <c r="E16" s="7"/>
      <c r="F16" s="7"/>
      <c r="G16" s="7"/>
      <c r="H16" s="9" t="n">
        <f aca="false">IF(C16=0,"",IFERROR((D16+0.5*E16)/C16,0))</f>
        <v>0</v>
      </c>
    </row>
    <row r="17" customFormat="false" ht="21.75" hidden="false" customHeight="true" outlineLevel="0" collapsed="false">
      <c r="A17" s="10" t="s">
        <v>29</v>
      </c>
      <c r="B17" s="11" t="s">
        <v>30</v>
      </c>
      <c r="C17" s="10" t="n">
        <v>5</v>
      </c>
      <c r="D17" s="10"/>
      <c r="E17" s="10"/>
      <c r="F17" s="10"/>
      <c r="G17" s="10"/>
      <c r="H17" s="12" t="n">
        <f aca="false">IF(C17=0,"",IFERROR((D17+0.5*E17)/C17,0))</f>
        <v>0</v>
      </c>
    </row>
    <row r="18" customFormat="false" ht="21.75" hidden="false" customHeight="true" outlineLevel="0" collapsed="false">
      <c r="A18" s="7" t="s">
        <v>31</v>
      </c>
      <c r="B18" s="8" t="s">
        <v>32</v>
      </c>
      <c r="C18" s="7" t="n">
        <v>4</v>
      </c>
      <c r="D18" s="7"/>
      <c r="E18" s="7"/>
      <c r="F18" s="7"/>
      <c r="G18" s="7"/>
      <c r="H18" s="9" t="n">
        <f aca="false">IF(C18=0,"",IFERROR((D18+0.5*E18)/C18,0))</f>
        <v>0</v>
      </c>
    </row>
    <row r="19" customFormat="false" ht="21.75" hidden="false" customHeight="true" outlineLevel="0" collapsed="false">
      <c r="A19" s="10" t="s">
        <v>33</v>
      </c>
      <c r="B19" s="11" t="s">
        <v>34</v>
      </c>
      <c r="C19" s="10" t="n">
        <v>2</v>
      </c>
      <c r="D19" s="10"/>
      <c r="E19" s="10"/>
      <c r="F19" s="10"/>
      <c r="G19" s="10"/>
      <c r="H19" s="12" t="n">
        <f aca="false">IF(C19=0,"",IFERROR((D19+0.5*E19)/C19,0))</f>
        <v>0</v>
      </c>
    </row>
    <row r="20" customFormat="false" ht="21.75" hidden="false" customHeight="true" outlineLevel="0" collapsed="false">
      <c r="A20" s="7" t="s">
        <v>35</v>
      </c>
      <c r="B20" s="8" t="s">
        <v>36</v>
      </c>
      <c r="C20" s="7" t="n">
        <v>7</v>
      </c>
      <c r="D20" s="7"/>
      <c r="E20" s="7"/>
      <c r="F20" s="7"/>
      <c r="G20" s="7"/>
      <c r="H20" s="9" t="n">
        <f aca="false">IF(C20=0,"",IFERROR((D20+0.5*E20)/C20,0))</f>
        <v>0</v>
      </c>
    </row>
    <row r="21" customFormat="false" ht="21.75" hidden="false" customHeight="true" outlineLevel="0" collapsed="false">
      <c r="A21" s="10" t="s">
        <v>37</v>
      </c>
      <c r="B21" s="11" t="s">
        <v>38</v>
      </c>
      <c r="C21" s="10" t="n">
        <v>6</v>
      </c>
      <c r="D21" s="10"/>
      <c r="E21" s="10"/>
      <c r="F21" s="10"/>
      <c r="G21" s="10"/>
      <c r="H21" s="12" t="n">
        <f aca="false">IF(C21=0,"",IFERROR((D21+0.5*E21)/C21,0))</f>
        <v>0</v>
      </c>
    </row>
    <row r="22" customFormat="false" ht="21.75" hidden="false" customHeight="true" outlineLevel="0" collapsed="false">
      <c r="A22" s="7" t="s">
        <v>39</v>
      </c>
      <c r="B22" s="8" t="s">
        <v>40</v>
      </c>
      <c r="C22" s="7" t="n">
        <v>10</v>
      </c>
      <c r="D22" s="7"/>
      <c r="E22" s="7"/>
      <c r="F22" s="7"/>
      <c r="G22" s="7"/>
      <c r="H22" s="9" t="n">
        <f aca="false">IF(C22=0,"",IFERROR((D22+0.5*E22)/C22,0))</f>
        <v>0</v>
      </c>
    </row>
    <row r="23" customFormat="false" ht="21.75" hidden="false" customHeight="true" outlineLevel="0" collapsed="false">
      <c r="A23" s="10" t="s">
        <v>41</v>
      </c>
      <c r="B23" s="11" t="s">
        <v>42</v>
      </c>
      <c r="C23" s="10" t="n">
        <v>14</v>
      </c>
      <c r="D23" s="10"/>
      <c r="E23" s="10"/>
      <c r="F23" s="10"/>
      <c r="G23" s="10"/>
      <c r="H23" s="12" t="n">
        <f aca="false">IF(C23=0,"",IFERROR((D23+0.5*E23)/C23,0))</f>
        <v>0</v>
      </c>
    </row>
    <row r="24" customFormat="false" ht="21.75" hidden="false" customHeight="true" outlineLevel="0" collapsed="false">
      <c r="A24" s="7" t="s">
        <v>43</v>
      </c>
      <c r="B24" s="8" t="s">
        <v>44</v>
      </c>
      <c r="C24" s="7" t="n">
        <v>2</v>
      </c>
      <c r="D24" s="7"/>
      <c r="E24" s="7"/>
      <c r="F24" s="7"/>
      <c r="G24" s="7"/>
      <c r="H24" s="9" t="n">
        <f aca="false">IF(C24=0,"",IFERROR((D24+0.5*E24)/C24,0))</f>
        <v>0</v>
      </c>
    </row>
    <row r="25" customFormat="false" ht="21.75" hidden="false" customHeight="true" outlineLevel="0" collapsed="false">
      <c r="A25" s="10" t="s">
        <v>45</v>
      </c>
      <c r="B25" s="11" t="s">
        <v>46</v>
      </c>
      <c r="C25" s="10" t="n">
        <v>15</v>
      </c>
      <c r="D25" s="10"/>
      <c r="E25" s="10"/>
      <c r="F25" s="10"/>
      <c r="G25" s="10"/>
      <c r="H25" s="12" t="n">
        <f aca="false">IF(C25=0,"",IFERROR((D25+0.5*E25)/C25,0))</f>
        <v>0</v>
      </c>
    </row>
    <row r="26" customFormat="false" ht="21.75" hidden="false" customHeight="true" outlineLevel="0" collapsed="false">
      <c r="A26" s="7" t="s">
        <v>47</v>
      </c>
      <c r="B26" s="8" t="s">
        <v>48</v>
      </c>
      <c r="C26" s="7" t="n">
        <v>14</v>
      </c>
      <c r="D26" s="7"/>
      <c r="E26" s="7"/>
      <c r="F26" s="7"/>
      <c r="G26" s="7"/>
      <c r="H26" s="9" t="n">
        <f aca="false">IF(C26=0,"",IFERROR((D26+0.5*E26)/C26,0))</f>
        <v>0</v>
      </c>
    </row>
    <row r="27" customFormat="false" ht="21.75" hidden="false" customHeight="true" outlineLevel="0" collapsed="false">
      <c r="A27" s="10" t="s">
        <v>49</v>
      </c>
      <c r="B27" s="11" t="s">
        <v>50</v>
      </c>
      <c r="C27" s="10" t="n">
        <v>7</v>
      </c>
      <c r="D27" s="10"/>
      <c r="E27" s="10"/>
      <c r="F27" s="10"/>
      <c r="G27" s="10"/>
      <c r="H27" s="12" t="n">
        <f aca="false">IF(C27=0,"",IFERROR((D27+0.5*E27)/C27,0))</f>
        <v>0</v>
      </c>
    </row>
    <row r="28" customFormat="false" ht="21.75" hidden="false" customHeight="true" outlineLevel="0" collapsed="false">
      <c r="A28" s="7" t="s">
        <v>51</v>
      </c>
      <c r="B28" s="8" t="s">
        <v>52</v>
      </c>
      <c r="C28" s="7" t="n">
        <v>13</v>
      </c>
      <c r="D28" s="7"/>
      <c r="E28" s="7"/>
      <c r="F28" s="7"/>
      <c r="G28" s="7"/>
      <c r="H28" s="9" t="n">
        <f aca="false">IF(C28=0,"",IFERROR((D28+0.5*E28)/C28,0))</f>
        <v>0</v>
      </c>
    </row>
    <row r="29" customFormat="false" ht="21.75" hidden="false" customHeight="true" outlineLevel="0" collapsed="false">
      <c r="A29" s="10" t="s">
        <v>53</v>
      </c>
      <c r="B29" s="11" t="s">
        <v>54</v>
      </c>
      <c r="C29" s="10" t="n">
        <v>5</v>
      </c>
      <c r="D29" s="10"/>
      <c r="E29" s="10"/>
      <c r="F29" s="10"/>
      <c r="G29" s="10"/>
      <c r="H29" s="12" t="n">
        <f aca="false">IF(C29=0,"",IFERROR((D29+0.5*E29)/C29,0))</f>
        <v>0</v>
      </c>
    </row>
    <row r="30" customFormat="false" ht="21.75" hidden="false" customHeight="true" outlineLevel="0" collapsed="false">
      <c r="A30" s="7" t="s">
        <v>55</v>
      </c>
      <c r="B30" s="8" t="s">
        <v>56</v>
      </c>
      <c r="C30" s="7" t="n">
        <v>7</v>
      </c>
      <c r="D30" s="7"/>
      <c r="E30" s="7"/>
      <c r="F30" s="7"/>
      <c r="G30" s="7"/>
      <c r="H30" s="9" t="n">
        <f aca="false">IF(C30=0,"",IFERROR((D30+0.5*E30)/C30,0))</f>
        <v>0</v>
      </c>
    </row>
    <row r="31" customFormat="false" ht="21.75" hidden="false" customHeight="true" outlineLevel="0" collapsed="false">
      <c r="A31" s="10" t="s">
        <v>57</v>
      </c>
      <c r="B31" s="11" t="s">
        <v>58</v>
      </c>
      <c r="C31" s="10" t="n">
        <v>4</v>
      </c>
      <c r="D31" s="10"/>
      <c r="E31" s="10"/>
      <c r="F31" s="10"/>
      <c r="G31" s="10"/>
      <c r="H31" s="12" t="n">
        <f aca="false">IF(C31=0,"",IFERROR((D31+0.5*E31)/C31,0))</f>
        <v>0</v>
      </c>
    </row>
    <row r="32" customFormat="false" ht="21.75" hidden="false" customHeight="true" outlineLevel="0" collapsed="false">
      <c r="A32" s="7" t="s">
        <v>59</v>
      </c>
      <c r="B32" s="8" t="s">
        <v>60</v>
      </c>
      <c r="C32" s="7" t="n">
        <v>8</v>
      </c>
      <c r="D32" s="7"/>
      <c r="E32" s="7"/>
      <c r="F32" s="7"/>
      <c r="G32" s="7"/>
      <c r="H32" s="9" t="n">
        <f aca="false">IF(C32=0,"",IFERROR((D32+0.5*E32)/C32,0))</f>
        <v>0</v>
      </c>
    </row>
    <row r="33" customFormat="false" ht="15" hidden="false" customHeight="true" outlineLevel="0" collapsed="false">
      <c r="A33" s="13" t="s">
        <v>61</v>
      </c>
      <c r="B33" s="13"/>
      <c r="C33" s="6" t="n">
        <f aca="false">SUM(C12:C32)</f>
        <v>154</v>
      </c>
      <c r="D33" s="6" t="n">
        <f aca="false">SUM(D12:D32)</f>
        <v>0</v>
      </c>
      <c r="E33" s="6" t="n">
        <f aca="false">SUM(E12:E32)</f>
        <v>0</v>
      </c>
      <c r="F33" s="6" t="n">
        <f aca="false">SUM(F12:F32)</f>
        <v>0</v>
      </c>
      <c r="G33" s="6" t="n">
        <f aca="false">SUM(G12:G32)</f>
        <v>0</v>
      </c>
      <c r="H33" s="14" t="n">
        <f aca="false">IFERROR(SUM(D12:D32+0.5*SUM(E12:E32))/SUM(C12:C32),0)</f>
        <v>0</v>
      </c>
    </row>
    <row r="35" customFormat="false" ht="15" hidden="false" customHeight="true" outlineLevel="0" collapsed="false">
      <c r="A35" s="15" t="s">
        <v>62</v>
      </c>
      <c r="B35" s="15"/>
      <c r="C35" s="15"/>
      <c r="D35" s="15"/>
      <c r="E35" s="15"/>
      <c r="F35" s="15"/>
      <c r="G35" s="15"/>
      <c r="H35" s="15"/>
    </row>
    <row r="36" customFormat="false" ht="17.35" hidden="false" customHeight="true" outlineLevel="0" collapsed="false">
      <c r="A36" s="16" t="s">
        <v>63</v>
      </c>
      <c r="B36" s="17" t="s">
        <v>14</v>
      </c>
      <c r="C36" s="18" t="s">
        <v>64</v>
      </c>
      <c r="D36" s="18"/>
      <c r="E36" s="18"/>
      <c r="F36" s="18"/>
      <c r="G36" s="18"/>
      <c r="H36" s="18"/>
    </row>
    <row r="37" customFormat="false" ht="17.35" hidden="false" customHeight="true" outlineLevel="0" collapsed="false">
      <c r="A37" s="19" t="s">
        <v>63</v>
      </c>
      <c r="B37" s="17" t="s">
        <v>15</v>
      </c>
      <c r="C37" s="18" t="s">
        <v>65</v>
      </c>
      <c r="D37" s="18"/>
      <c r="E37" s="18"/>
      <c r="F37" s="18"/>
      <c r="G37" s="18"/>
      <c r="H37" s="18"/>
    </row>
    <row r="38" customFormat="false" ht="17.35" hidden="false" customHeight="true" outlineLevel="0" collapsed="false">
      <c r="A38" s="20" t="s">
        <v>63</v>
      </c>
      <c r="B38" s="17" t="s">
        <v>16</v>
      </c>
      <c r="C38" s="18" t="s">
        <v>66</v>
      </c>
      <c r="D38" s="18"/>
      <c r="E38" s="18"/>
      <c r="F38" s="18"/>
      <c r="G38" s="18"/>
      <c r="H38" s="18"/>
    </row>
    <row r="39" customFormat="false" ht="17.35" hidden="false" customHeight="true" outlineLevel="0" collapsed="false">
      <c r="A39" s="21" t="s">
        <v>63</v>
      </c>
      <c r="B39" s="17" t="s">
        <v>17</v>
      </c>
      <c r="C39" s="18" t="s">
        <v>67</v>
      </c>
      <c r="D39" s="18"/>
      <c r="E39" s="18"/>
      <c r="F39" s="18"/>
      <c r="G39" s="18"/>
      <c r="H39" s="18"/>
    </row>
    <row r="40" customFormat="false" ht="17.35" hidden="false" customHeight="true" outlineLevel="0" collapsed="false">
      <c r="A40" s="22" t="s">
        <v>63</v>
      </c>
      <c r="B40" s="17" t="s">
        <v>68</v>
      </c>
      <c r="C40" s="18" t="s">
        <v>69</v>
      </c>
      <c r="D40" s="18"/>
      <c r="E40" s="18"/>
      <c r="F40" s="18"/>
      <c r="G40" s="18"/>
      <c r="H40" s="18"/>
    </row>
  </sheetData>
  <mergeCells count="22">
    <mergeCell ref="A1:H2"/>
    <mergeCell ref="A3:H3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33:B33"/>
    <mergeCell ref="A35:H35"/>
    <mergeCell ref="C36:H36"/>
    <mergeCell ref="C37:H37"/>
    <mergeCell ref="C38:H38"/>
    <mergeCell ref="C39:H39"/>
    <mergeCell ref="C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30"/>
  </cols>
  <sheetData>
    <row r="1" customFormat="false" ht="27.75" hidden="false" customHeight="true" outlineLevel="0" collapsed="false">
      <c r="A1" s="23" t="s">
        <v>70</v>
      </c>
      <c r="B1" s="23"/>
      <c r="C1" s="23"/>
      <c r="D1" s="23"/>
      <c r="E1" s="23"/>
      <c r="F1" s="23"/>
      <c r="G1" s="23"/>
      <c r="H1" s="23"/>
      <c r="I1" s="23"/>
    </row>
    <row r="2" customFormat="false" ht="36" hidden="false" customHeight="true" outlineLevel="0" collapsed="false">
      <c r="A2" s="6" t="s">
        <v>71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  <c r="I2" s="6" t="s">
        <v>79</v>
      </c>
    </row>
    <row r="3" customFormat="false" ht="19.5" hidden="false" customHeight="true" outlineLevel="0" collapsed="false">
      <c r="A3" s="24" t="s">
        <v>80</v>
      </c>
      <c r="B3" s="24"/>
      <c r="C3" s="24"/>
      <c r="D3" s="24"/>
      <c r="E3" s="24"/>
      <c r="F3" s="24"/>
      <c r="G3" s="24"/>
      <c r="H3" s="24"/>
      <c r="I3" s="24"/>
    </row>
    <row r="4" customFormat="false" ht="42" hidden="false" customHeight="true" outlineLevel="0" collapsed="false">
      <c r="A4" s="25" t="s">
        <v>81</v>
      </c>
      <c r="B4" s="8" t="s">
        <v>82</v>
      </c>
      <c r="C4" s="26" t="s">
        <v>83</v>
      </c>
      <c r="D4" s="7" t="s">
        <v>68</v>
      </c>
      <c r="E4" s="7"/>
      <c r="F4" s="7"/>
      <c r="G4" s="26"/>
      <c r="H4" s="26"/>
      <c r="I4" s="26"/>
    </row>
    <row r="5" customFormat="false" ht="42" hidden="false" customHeight="true" outlineLevel="0" collapsed="false">
      <c r="A5" s="27" t="s">
        <v>84</v>
      </c>
      <c r="B5" s="11" t="s">
        <v>85</v>
      </c>
      <c r="C5" s="28" t="s">
        <v>86</v>
      </c>
      <c r="D5" s="10" t="s">
        <v>68</v>
      </c>
      <c r="E5" s="10"/>
      <c r="F5" s="10"/>
      <c r="G5" s="28"/>
      <c r="H5" s="28"/>
      <c r="I5" s="28"/>
    </row>
    <row r="6" customFormat="false" ht="42" hidden="false" customHeight="true" outlineLevel="0" collapsed="false">
      <c r="A6" s="25" t="s">
        <v>87</v>
      </c>
      <c r="B6" s="8" t="s">
        <v>88</v>
      </c>
      <c r="C6" s="26" t="s">
        <v>89</v>
      </c>
      <c r="D6" s="7" t="s">
        <v>68</v>
      </c>
      <c r="E6" s="7"/>
      <c r="F6" s="7"/>
      <c r="G6" s="26"/>
      <c r="H6" s="26"/>
      <c r="I6" s="26"/>
    </row>
    <row r="7" customFormat="false" ht="42" hidden="false" customHeight="true" outlineLevel="0" collapsed="false">
      <c r="A7" s="27" t="s">
        <v>90</v>
      </c>
      <c r="B7" s="11" t="s">
        <v>91</v>
      </c>
      <c r="C7" s="28" t="s">
        <v>92</v>
      </c>
      <c r="D7" s="10" t="s">
        <v>68</v>
      </c>
      <c r="E7" s="10"/>
      <c r="F7" s="10"/>
      <c r="G7" s="28"/>
      <c r="H7" s="28"/>
      <c r="I7" s="28"/>
    </row>
    <row r="8" customFormat="false" ht="19.5" hidden="false" customHeight="true" outlineLevel="0" collapsed="false">
      <c r="A8" s="24" t="s">
        <v>93</v>
      </c>
      <c r="B8" s="24"/>
      <c r="C8" s="24"/>
      <c r="D8" s="24"/>
      <c r="E8" s="24"/>
      <c r="F8" s="24"/>
      <c r="G8" s="24"/>
      <c r="H8" s="24"/>
      <c r="I8" s="24"/>
    </row>
    <row r="9" customFormat="false" ht="42" hidden="false" customHeight="true" outlineLevel="0" collapsed="false">
      <c r="A9" s="27" t="s">
        <v>94</v>
      </c>
      <c r="B9" s="11" t="s">
        <v>95</v>
      </c>
      <c r="C9" s="28" t="s">
        <v>96</v>
      </c>
      <c r="D9" s="10" t="s">
        <v>68</v>
      </c>
      <c r="E9" s="10"/>
      <c r="F9" s="10"/>
      <c r="G9" s="28"/>
      <c r="H9" s="28"/>
      <c r="I9" s="28"/>
    </row>
    <row r="10" customFormat="false" ht="42" hidden="false" customHeight="true" outlineLevel="0" collapsed="false">
      <c r="A10" s="25" t="s">
        <v>97</v>
      </c>
      <c r="B10" s="8" t="s">
        <v>98</v>
      </c>
      <c r="C10" s="26" t="s">
        <v>99</v>
      </c>
      <c r="D10" s="7" t="s">
        <v>68</v>
      </c>
      <c r="E10" s="7"/>
      <c r="F10" s="7"/>
      <c r="G10" s="26"/>
      <c r="H10" s="26"/>
      <c r="I10" s="26"/>
    </row>
    <row r="11" customFormat="false" ht="42" hidden="false" customHeight="true" outlineLevel="0" collapsed="false">
      <c r="A11" s="27" t="s">
        <v>100</v>
      </c>
      <c r="B11" s="11" t="s">
        <v>101</v>
      </c>
      <c r="C11" s="28" t="s">
        <v>102</v>
      </c>
      <c r="D11" s="10" t="s">
        <v>68</v>
      </c>
      <c r="E11" s="10"/>
      <c r="F11" s="10"/>
      <c r="G11" s="28"/>
      <c r="H11" s="28"/>
      <c r="I11" s="28"/>
    </row>
    <row r="12" customFormat="false" ht="42" hidden="false" customHeight="true" outlineLevel="0" collapsed="false">
      <c r="A12" s="25" t="s">
        <v>103</v>
      </c>
      <c r="B12" s="8" t="s">
        <v>104</v>
      </c>
      <c r="C12" s="26" t="s">
        <v>105</v>
      </c>
      <c r="D12" s="7" t="s">
        <v>68</v>
      </c>
      <c r="E12" s="7"/>
      <c r="F12" s="7"/>
      <c r="G12" s="26"/>
      <c r="H12" s="26"/>
      <c r="I12" s="26"/>
    </row>
    <row r="13" customFormat="false" ht="42" hidden="false" customHeight="true" outlineLevel="0" collapsed="false">
      <c r="A13" s="27" t="s">
        <v>106</v>
      </c>
      <c r="B13" s="11" t="s">
        <v>107</v>
      </c>
      <c r="C13" s="28" t="s">
        <v>108</v>
      </c>
      <c r="D13" s="10" t="s">
        <v>68</v>
      </c>
      <c r="E13" s="10"/>
      <c r="F13" s="10"/>
      <c r="G13" s="28"/>
      <c r="H13" s="28"/>
      <c r="I13" s="28"/>
    </row>
    <row r="14" customFormat="false" ht="42" hidden="false" customHeight="true" outlineLevel="0" collapsed="false">
      <c r="A14" s="25" t="s">
        <v>109</v>
      </c>
      <c r="B14" s="8" t="s">
        <v>110</v>
      </c>
      <c r="C14" s="26" t="s">
        <v>111</v>
      </c>
      <c r="D14" s="7" t="s">
        <v>68</v>
      </c>
      <c r="E14" s="7"/>
      <c r="F14" s="7"/>
      <c r="G14" s="26"/>
      <c r="H14" s="26"/>
      <c r="I14" s="26"/>
    </row>
    <row r="15" customFormat="false" ht="19.5" hidden="false" customHeight="true" outlineLevel="0" collapsed="false">
      <c r="A15" s="24" t="s">
        <v>112</v>
      </c>
      <c r="B15" s="24"/>
      <c r="C15" s="24"/>
      <c r="D15" s="24"/>
      <c r="E15" s="24"/>
      <c r="F15" s="24"/>
      <c r="G15" s="24"/>
      <c r="H15" s="24"/>
      <c r="I15" s="24"/>
    </row>
    <row r="16" customFormat="false" ht="42" hidden="false" customHeight="true" outlineLevel="0" collapsed="false">
      <c r="A16" s="25" t="s">
        <v>113</v>
      </c>
      <c r="B16" s="8" t="s">
        <v>114</v>
      </c>
      <c r="C16" s="26" t="s">
        <v>115</v>
      </c>
      <c r="D16" s="7" t="s">
        <v>68</v>
      </c>
      <c r="E16" s="7"/>
      <c r="F16" s="7"/>
      <c r="G16" s="26"/>
      <c r="H16" s="26"/>
      <c r="I16" s="26"/>
    </row>
    <row r="17" customFormat="false" ht="42" hidden="false" customHeight="true" outlineLevel="0" collapsed="false">
      <c r="A17" s="27" t="s">
        <v>116</v>
      </c>
      <c r="B17" s="11" t="s">
        <v>117</v>
      </c>
      <c r="C17" s="28" t="s">
        <v>118</v>
      </c>
      <c r="D17" s="10" t="s">
        <v>68</v>
      </c>
      <c r="E17" s="10"/>
      <c r="F17" s="10"/>
      <c r="G17" s="28"/>
      <c r="H17" s="28"/>
      <c r="I17" s="28"/>
    </row>
    <row r="18" customFormat="false" ht="42" hidden="false" customHeight="true" outlineLevel="0" collapsed="false">
      <c r="A18" s="25" t="s">
        <v>119</v>
      </c>
      <c r="B18" s="8" t="s">
        <v>120</v>
      </c>
      <c r="C18" s="26" t="s">
        <v>121</v>
      </c>
      <c r="D18" s="7" t="s">
        <v>68</v>
      </c>
      <c r="E18" s="7"/>
      <c r="F18" s="7"/>
      <c r="G18" s="26"/>
      <c r="H18" s="26"/>
      <c r="I18" s="26"/>
    </row>
    <row r="19" customFormat="false" ht="42" hidden="false" customHeight="true" outlineLevel="0" collapsed="false">
      <c r="A19" s="27" t="s">
        <v>122</v>
      </c>
      <c r="B19" s="11" t="s">
        <v>123</v>
      </c>
      <c r="C19" s="28" t="s">
        <v>124</v>
      </c>
      <c r="D19" s="10" t="s">
        <v>68</v>
      </c>
      <c r="E19" s="10"/>
      <c r="F19" s="10"/>
      <c r="G19" s="28"/>
      <c r="H19" s="28"/>
      <c r="I19" s="28"/>
    </row>
    <row r="20" customFormat="false" ht="42" hidden="false" customHeight="true" outlineLevel="0" collapsed="false">
      <c r="A20" s="25" t="s">
        <v>125</v>
      </c>
      <c r="B20" s="8" t="s">
        <v>126</v>
      </c>
      <c r="C20" s="26" t="s">
        <v>127</v>
      </c>
      <c r="D20" s="7" t="s">
        <v>68</v>
      </c>
      <c r="E20" s="7"/>
      <c r="F20" s="7"/>
      <c r="G20" s="26"/>
      <c r="H20" s="26"/>
      <c r="I20" s="26"/>
    </row>
    <row r="21" customFormat="false" ht="42" hidden="false" customHeight="true" outlineLevel="0" collapsed="false">
      <c r="A21" s="27" t="s">
        <v>128</v>
      </c>
      <c r="B21" s="11" t="s">
        <v>129</v>
      </c>
      <c r="C21" s="28" t="s">
        <v>130</v>
      </c>
      <c r="D21" s="10" t="s">
        <v>68</v>
      </c>
      <c r="E21" s="10"/>
      <c r="F21" s="10"/>
      <c r="G21" s="28"/>
      <c r="H21" s="28"/>
      <c r="I21" s="28"/>
    </row>
    <row r="22" customFormat="false" ht="19.5" hidden="false" customHeight="true" outlineLevel="0" collapsed="false">
      <c r="A22" s="24" t="s">
        <v>131</v>
      </c>
      <c r="B22" s="24"/>
      <c r="C22" s="24"/>
      <c r="D22" s="24"/>
      <c r="E22" s="24"/>
      <c r="F22" s="24"/>
      <c r="G22" s="24"/>
      <c r="H22" s="24"/>
      <c r="I22" s="24"/>
    </row>
    <row r="23" customFormat="false" ht="42" hidden="false" customHeight="true" outlineLevel="0" collapsed="false">
      <c r="A23" s="27" t="s">
        <v>132</v>
      </c>
      <c r="B23" s="11" t="s">
        <v>133</v>
      </c>
      <c r="C23" s="28" t="s">
        <v>134</v>
      </c>
      <c r="D23" s="10" t="s">
        <v>68</v>
      </c>
      <c r="E23" s="10"/>
      <c r="F23" s="10"/>
      <c r="G23" s="28"/>
      <c r="H23" s="28"/>
      <c r="I23" s="28"/>
    </row>
    <row r="24" customFormat="false" ht="42" hidden="false" customHeight="true" outlineLevel="0" collapsed="false">
      <c r="A24" s="25" t="s">
        <v>135</v>
      </c>
      <c r="B24" s="8" t="s">
        <v>136</v>
      </c>
      <c r="C24" s="26" t="s">
        <v>137</v>
      </c>
      <c r="D24" s="7" t="s">
        <v>68</v>
      </c>
      <c r="E24" s="7"/>
      <c r="F24" s="7"/>
      <c r="G24" s="26"/>
      <c r="H24" s="26"/>
      <c r="I24" s="26"/>
    </row>
    <row r="25" customFormat="false" ht="42" hidden="false" customHeight="true" outlineLevel="0" collapsed="false">
      <c r="A25" s="27" t="s">
        <v>138</v>
      </c>
      <c r="B25" s="11" t="s">
        <v>139</v>
      </c>
      <c r="C25" s="28" t="s">
        <v>140</v>
      </c>
      <c r="D25" s="10" t="s">
        <v>68</v>
      </c>
      <c r="E25" s="10"/>
      <c r="F25" s="10"/>
      <c r="G25" s="28"/>
      <c r="H25" s="28"/>
      <c r="I25" s="28"/>
    </row>
    <row r="26" customFormat="false" ht="42" hidden="false" customHeight="true" outlineLevel="0" collapsed="false">
      <c r="A26" s="25" t="s">
        <v>141</v>
      </c>
      <c r="B26" s="8" t="s">
        <v>142</v>
      </c>
      <c r="C26" s="26" t="s">
        <v>143</v>
      </c>
      <c r="D26" s="7" t="s">
        <v>68</v>
      </c>
      <c r="E26" s="7"/>
      <c r="F26" s="7"/>
      <c r="G26" s="26"/>
      <c r="H26" s="26"/>
      <c r="I26" s="26"/>
    </row>
    <row r="27" customFormat="false" ht="42" hidden="false" customHeight="true" outlineLevel="0" collapsed="false">
      <c r="A27" s="27" t="s">
        <v>144</v>
      </c>
      <c r="B27" s="11" t="s">
        <v>145</v>
      </c>
      <c r="C27" s="28" t="s">
        <v>146</v>
      </c>
      <c r="D27" s="10" t="s">
        <v>68</v>
      </c>
      <c r="E27" s="10"/>
      <c r="F27" s="10"/>
      <c r="G27" s="28"/>
      <c r="H27" s="28"/>
      <c r="I27" s="28"/>
    </row>
    <row r="28" customFormat="false" ht="42" hidden="false" customHeight="true" outlineLevel="0" collapsed="false">
      <c r="A28" s="25" t="s">
        <v>147</v>
      </c>
      <c r="B28" s="8" t="s">
        <v>148</v>
      </c>
      <c r="C28" s="26" t="s">
        <v>149</v>
      </c>
      <c r="D28" s="7" t="s">
        <v>68</v>
      </c>
      <c r="E28" s="7"/>
      <c r="F28" s="7"/>
      <c r="G28" s="26"/>
      <c r="H28" s="26"/>
      <c r="I28" s="26"/>
    </row>
    <row r="29" customFormat="false" ht="42" hidden="false" customHeight="true" outlineLevel="0" collapsed="false">
      <c r="A29" s="27" t="s">
        <v>150</v>
      </c>
      <c r="B29" s="11" t="s">
        <v>151</v>
      </c>
      <c r="C29" s="28" t="s">
        <v>152</v>
      </c>
      <c r="D29" s="10" t="s">
        <v>68</v>
      </c>
      <c r="E29" s="10"/>
      <c r="F29" s="10"/>
      <c r="G29" s="28"/>
      <c r="H29" s="28"/>
      <c r="I29" s="28"/>
    </row>
    <row r="30" customFormat="false" ht="42" hidden="false" customHeight="true" outlineLevel="0" collapsed="false">
      <c r="A30" s="25" t="s">
        <v>153</v>
      </c>
      <c r="B30" s="8" t="s">
        <v>154</v>
      </c>
      <c r="C30" s="26" t="s">
        <v>155</v>
      </c>
      <c r="D30" s="7" t="s">
        <v>68</v>
      </c>
      <c r="E30" s="7"/>
      <c r="F30" s="7"/>
      <c r="G30" s="26"/>
      <c r="H30" s="26"/>
      <c r="I30" s="26"/>
    </row>
    <row r="31" customFormat="false" ht="19.5" hidden="false" customHeight="true" outlineLevel="0" collapsed="false">
      <c r="A31" s="24" t="s">
        <v>156</v>
      </c>
      <c r="B31" s="24"/>
      <c r="C31" s="24"/>
      <c r="D31" s="24"/>
      <c r="E31" s="24"/>
      <c r="F31" s="24"/>
      <c r="G31" s="24"/>
      <c r="H31" s="24"/>
      <c r="I31" s="24"/>
    </row>
    <row r="32" customFormat="false" ht="42" hidden="false" customHeight="true" outlineLevel="0" collapsed="false">
      <c r="A32" s="25" t="s">
        <v>157</v>
      </c>
      <c r="B32" s="8" t="s">
        <v>158</v>
      </c>
      <c r="C32" s="26" t="s">
        <v>159</v>
      </c>
      <c r="D32" s="7" t="s">
        <v>68</v>
      </c>
      <c r="E32" s="7"/>
      <c r="F32" s="7"/>
      <c r="G32" s="26"/>
      <c r="H32" s="26"/>
      <c r="I32" s="26"/>
    </row>
    <row r="33" customFormat="false" ht="42" hidden="false" customHeight="true" outlineLevel="0" collapsed="false">
      <c r="A33" s="27" t="s">
        <v>160</v>
      </c>
      <c r="B33" s="11" t="s">
        <v>161</v>
      </c>
      <c r="C33" s="28" t="s">
        <v>162</v>
      </c>
      <c r="D33" s="10" t="s">
        <v>68</v>
      </c>
      <c r="E33" s="10"/>
      <c r="F33" s="10"/>
      <c r="G33" s="28"/>
      <c r="H33" s="28"/>
      <c r="I33" s="28"/>
    </row>
    <row r="34" customFormat="false" ht="42" hidden="false" customHeight="true" outlineLevel="0" collapsed="false">
      <c r="A34" s="25" t="s">
        <v>163</v>
      </c>
      <c r="B34" s="8" t="s">
        <v>164</v>
      </c>
      <c r="C34" s="26" t="s">
        <v>165</v>
      </c>
      <c r="D34" s="7" t="s">
        <v>68</v>
      </c>
      <c r="E34" s="7"/>
      <c r="F34" s="7"/>
      <c r="G34" s="26"/>
      <c r="H34" s="26"/>
      <c r="I34" s="26"/>
    </row>
    <row r="35" customFormat="false" ht="42" hidden="false" customHeight="true" outlineLevel="0" collapsed="false">
      <c r="A35" s="27" t="s">
        <v>166</v>
      </c>
      <c r="B35" s="11" t="s">
        <v>167</v>
      </c>
      <c r="C35" s="28" t="s">
        <v>168</v>
      </c>
      <c r="D35" s="10" t="s">
        <v>68</v>
      </c>
      <c r="E35" s="10"/>
      <c r="F35" s="10"/>
      <c r="G35" s="28"/>
      <c r="H35" s="28"/>
      <c r="I35" s="28"/>
    </row>
    <row r="36" customFormat="false" ht="42" hidden="false" customHeight="true" outlineLevel="0" collapsed="false">
      <c r="A36" s="25" t="s">
        <v>169</v>
      </c>
      <c r="B36" s="8" t="s">
        <v>170</v>
      </c>
      <c r="C36" s="26" t="s">
        <v>171</v>
      </c>
      <c r="D36" s="7" t="s">
        <v>68</v>
      </c>
      <c r="E36" s="7"/>
      <c r="F36" s="7"/>
      <c r="G36" s="26"/>
      <c r="H36" s="26"/>
      <c r="I36" s="26"/>
    </row>
    <row r="37" customFormat="false" ht="42" hidden="false" customHeight="true" outlineLevel="0" collapsed="false">
      <c r="A37" s="27" t="s">
        <v>172</v>
      </c>
      <c r="B37" s="11" t="s">
        <v>173</v>
      </c>
      <c r="C37" s="28" t="s">
        <v>174</v>
      </c>
      <c r="D37" s="10" t="s">
        <v>68</v>
      </c>
      <c r="E37" s="10"/>
      <c r="F37" s="10"/>
      <c r="G37" s="28"/>
      <c r="H37" s="28"/>
      <c r="I37" s="28"/>
    </row>
    <row r="38" customFormat="false" ht="19.5" hidden="false" customHeight="true" outlineLevel="0" collapsed="false">
      <c r="A38" s="24" t="s">
        <v>175</v>
      </c>
      <c r="B38" s="24"/>
      <c r="C38" s="24"/>
      <c r="D38" s="24"/>
      <c r="E38" s="24"/>
      <c r="F38" s="24"/>
      <c r="G38" s="24"/>
      <c r="H38" s="24"/>
      <c r="I38" s="24"/>
    </row>
    <row r="39" customFormat="false" ht="42" hidden="false" customHeight="true" outlineLevel="0" collapsed="false">
      <c r="A39" s="27" t="s">
        <v>176</v>
      </c>
      <c r="B39" s="11" t="s">
        <v>177</v>
      </c>
      <c r="C39" s="28" t="s">
        <v>178</v>
      </c>
      <c r="D39" s="10" t="s">
        <v>68</v>
      </c>
      <c r="E39" s="10"/>
      <c r="F39" s="10"/>
      <c r="G39" s="28"/>
      <c r="H39" s="28"/>
      <c r="I39" s="28"/>
    </row>
    <row r="40" customFormat="false" ht="42" hidden="false" customHeight="true" outlineLevel="0" collapsed="false">
      <c r="A40" s="25" t="s">
        <v>179</v>
      </c>
      <c r="B40" s="8" t="s">
        <v>180</v>
      </c>
      <c r="C40" s="26" t="s">
        <v>181</v>
      </c>
      <c r="D40" s="7" t="s">
        <v>68</v>
      </c>
      <c r="E40" s="7"/>
      <c r="F40" s="7"/>
      <c r="G40" s="26"/>
      <c r="H40" s="26"/>
      <c r="I40" s="26"/>
    </row>
    <row r="41" customFormat="false" ht="42" hidden="false" customHeight="true" outlineLevel="0" collapsed="false">
      <c r="A41" s="27" t="s">
        <v>182</v>
      </c>
      <c r="B41" s="11" t="s">
        <v>183</v>
      </c>
      <c r="C41" s="28" t="s">
        <v>184</v>
      </c>
      <c r="D41" s="10" t="s">
        <v>68</v>
      </c>
      <c r="E41" s="10"/>
      <c r="F41" s="10"/>
      <c r="G41" s="28"/>
      <c r="H41" s="28"/>
      <c r="I41" s="28"/>
    </row>
    <row r="42" customFormat="false" ht="42" hidden="false" customHeight="true" outlineLevel="0" collapsed="false">
      <c r="A42" s="25" t="s">
        <v>185</v>
      </c>
      <c r="B42" s="8" t="s">
        <v>186</v>
      </c>
      <c r="C42" s="26" t="s">
        <v>187</v>
      </c>
      <c r="D42" s="7" t="s">
        <v>68</v>
      </c>
      <c r="E42" s="7"/>
      <c r="F42" s="7"/>
      <c r="G42" s="26"/>
      <c r="H42" s="26"/>
      <c r="I42" s="26"/>
    </row>
    <row r="43" customFormat="false" ht="42" hidden="false" customHeight="true" outlineLevel="0" collapsed="false">
      <c r="A43" s="27" t="s">
        <v>188</v>
      </c>
      <c r="B43" s="11" t="s">
        <v>189</v>
      </c>
      <c r="C43" s="28" t="s">
        <v>190</v>
      </c>
      <c r="D43" s="10" t="s">
        <v>68</v>
      </c>
      <c r="E43" s="10"/>
      <c r="F43" s="10"/>
      <c r="G43" s="28"/>
      <c r="H43" s="28"/>
      <c r="I43" s="28"/>
    </row>
    <row r="44" customFormat="false" ht="19.5" hidden="false" customHeight="true" outlineLevel="0" collapsed="false">
      <c r="A44" s="24" t="s">
        <v>191</v>
      </c>
      <c r="B44" s="24"/>
      <c r="C44" s="24"/>
      <c r="D44" s="24"/>
      <c r="E44" s="24"/>
      <c r="F44" s="24"/>
      <c r="G44" s="24"/>
      <c r="H44" s="24"/>
      <c r="I44" s="24"/>
    </row>
    <row r="45" customFormat="false" ht="42" hidden="false" customHeight="true" outlineLevel="0" collapsed="false">
      <c r="A45" s="27" t="s">
        <v>192</v>
      </c>
      <c r="B45" s="11" t="s">
        <v>193</v>
      </c>
      <c r="C45" s="28" t="s">
        <v>194</v>
      </c>
      <c r="D45" s="10" t="s">
        <v>68</v>
      </c>
      <c r="E45" s="10"/>
      <c r="F45" s="10"/>
      <c r="G45" s="28"/>
      <c r="H45" s="28"/>
      <c r="I45" s="28"/>
    </row>
    <row r="46" customFormat="false" ht="42" hidden="false" customHeight="true" outlineLevel="0" collapsed="false">
      <c r="A46" s="25" t="s">
        <v>195</v>
      </c>
      <c r="B46" s="8" t="s">
        <v>196</v>
      </c>
      <c r="C46" s="26" t="s">
        <v>197</v>
      </c>
      <c r="D46" s="7" t="s">
        <v>68</v>
      </c>
      <c r="E46" s="7"/>
      <c r="F46" s="7"/>
      <c r="G46" s="26"/>
      <c r="H46" s="26"/>
      <c r="I46" s="26"/>
    </row>
    <row r="47" customFormat="false" ht="42" hidden="false" customHeight="true" outlineLevel="0" collapsed="false">
      <c r="A47" s="27" t="s">
        <v>198</v>
      </c>
      <c r="B47" s="11" t="s">
        <v>199</v>
      </c>
      <c r="C47" s="28" t="s">
        <v>200</v>
      </c>
      <c r="D47" s="10" t="s">
        <v>68</v>
      </c>
      <c r="E47" s="10"/>
      <c r="F47" s="10"/>
      <c r="G47" s="28"/>
      <c r="H47" s="28"/>
      <c r="I47" s="28"/>
    </row>
    <row r="48" customFormat="false" ht="42" hidden="false" customHeight="true" outlineLevel="0" collapsed="false">
      <c r="A48" s="25" t="s">
        <v>201</v>
      </c>
      <c r="B48" s="8" t="s">
        <v>202</v>
      </c>
      <c r="C48" s="26" t="s">
        <v>203</v>
      </c>
      <c r="D48" s="7" t="s">
        <v>68</v>
      </c>
      <c r="E48" s="7"/>
      <c r="F48" s="7"/>
      <c r="G48" s="26"/>
      <c r="H48" s="26"/>
      <c r="I48" s="26"/>
    </row>
  </sheetData>
  <mergeCells count="8">
    <mergeCell ref="A1:I1"/>
    <mergeCell ref="A3:I3"/>
    <mergeCell ref="A8:I8"/>
    <mergeCell ref="A15:I15"/>
    <mergeCell ref="A22:I22"/>
    <mergeCell ref="A31:I31"/>
    <mergeCell ref="A38:I38"/>
    <mergeCell ref="A44:I44"/>
  </mergeCells>
  <dataValidations count="1">
    <dataValidation allowBlank="true" errorStyle="stop" operator="between" showDropDown="false" showErrorMessage="false" showInputMessage="false" sqref="D4:D7 D9:D14 D16:D21 D23:D30 D32:D37 D39:D43 D45:D48" type="list">
      <formula1>"Not Assessed,Compliant,Partial,Non-Compliant,N/A"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30"/>
  </cols>
  <sheetData>
    <row r="1" customFormat="false" ht="27.75" hidden="false" customHeight="true" outlineLevel="0" collapsed="false">
      <c r="A1" s="23" t="s">
        <v>204</v>
      </c>
      <c r="B1" s="23"/>
      <c r="C1" s="23"/>
      <c r="D1" s="23"/>
      <c r="E1" s="23"/>
      <c r="F1" s="23"/>
      <c r="G1" s="23"/>
      <c r="H1" s="23"/>
      <c r="I1" s="23"/>
    </row>
    <row r="2" customFormat="false" ht="36" hidden="false" customHeight="true" outlineLevel="0" collapsed="false">
      <c r="A2" s="6" t="s">
        <v>71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  <c r="I2" s="6" t="s">
        <v>79</v>
      </c>
    </row>
    <row r="3" customFormat="false" ht="19.5" hidden="false" customHeight="true" outlineLevel="0" collapsed="false">
      <c r="A3" s="24" t="s">
        <v>205</v>
      </c>
      <c r="B3" s="24"/>
      <c r="C3" s="24"/>
      <c r="D3" s="24"/>
      <c r="E3" s="24"/>
      <c r="F3" s="24"/>
      <c r="G3" s="24"/>
      <c r="H3" s="24"/>
      <c r="I3" s="24"/>
    </row>
    <row r="4" customFormat="false" ht="42" hidden="false" customHeight="true" outlineLevel="0" collapsed="false">
      <c r="A4" s="25" t="s">
        <v>206</v>
      </c>
      <c r="B4" s="8" t="s">
        <v>207</v>
      </c>
      <c r="C4" s="26" t="s">
        <v>208</v>
      </c>
      <c r="D4" s="7" t="s">
        <v>68</v>
      </c>
      <c r="E4" s="7"/>
      <c r="F4" s="7"/>
      <c r="G4" s="26"/>
      <c r="H4" s="26"/>
      <c r="I4" s="26"/>
    </row>
    <row r="5" customFormat="false" ht="42" hidden="false" customHeight="true" outlineLevel="0" collapsed="false">
      <c r="A5" s="27" t="s">
        <v>209</v>
      </c>
      <c r="B5" s="11" t="s">
        <v>210</v>
      </c>
      <c r="C5" s="28" t="s">
        <v>211</v>
      </c>
      <c r="D5" s="10" t="s">
        <v>68</v>
      </c>
      <c r="E5" s="10"/>
      <c r="F5" s="10"/>
      <c r="G5" s="28"/>
      <c r="H5" s="28"/>
      <c r="I5" s="28"/>
    </row>
    <row r="6" customFormat="false" ht="19.5" hidden="false" customHeight="true" outlineLevel="0" collapsed="false">
      <c r="A6" s="24" t="s">
        <v>212</v>
      </c>
      <c r="B6" s="24"/>
      <c r="C6" s="24"/>
      <c r="D6" s="24"/>
      <c r="E6" s="24"/>
      <c r="F6" s="24"/>
      <c r="G6" s="24"/>
      <c r="H6" s="24"/>
      <c r="I6" s="24"/>
    </row>
    <row r="7" customFormat="false" ht="42" hidden="false" customHeight="true" outlineLevel="0" collapsed="false">
      <c r="A7" s="27" t="s">
        <v>213</v>
      </c>
      <c r="B7" s="11" t="s">
        <v>214</v>
      </c>
      <c r="C7" s="28" t="s">
        <v>215</v>
      </c>
      <c r="D7" s="10" t="s">
        <v>68</v>
      </c>
      <c r="E7" s="10"/>
      <c r="F7" s="10"/>
      <c r="G7" s="28"/>
      <c r="H7" s="28"/>
      <c r="I7" s="28"/>
    </row>
    <row r="8" customFormat="false" ht="42" hidden="false" customHeight="true" outlineLevel="0" collapsed="false">
      <c r="A8" s="25" t="s">
        <v>216</v>
      </c>
      <c r="B8" s="8" t="s">
        <v>217</v>
      </c>
      <c r="C8" s="26" t="s">
        <v>218</v>
      </c>
      <c r="D8" s="7" t="s">
        <v>68</v>
      </c>
      <c r="E8" s="7"/>
      <c r="F8" s="7"/>
      <c r="G8" s="26"/>
      <c r="H8" s="26"/>
      <c r="I8" s="26"/>
    </row>
    <row r="9" customFormat="false" ht="42" hidden="false" customHeight="true" outlineLevel="0" collapsed="false">
      <c r="A9" s="27" t="s">
        <v>219</v>
      </c>
      <c r="B9" s="11" t="s">
        <v>220</v>
      </c>
      <c r="C9" s="28" t="s">
        <v>221</v>
      </c>
      <c r="D9" s="10" t="s">
        <v>68</v>
      </c>
      <c r="E9" s="10"/>
      <c r="F9" s="10"/>
      <c r="G9" s="28"/>
      <c r="H9" s="28"/>
      <c r="I9" s="28"/>
    </row>
    <row r="10" customFormat="false" ht="42" hidden="false" customHeight="true" outlineLevel="0" collapsed="false">
      <c r="A10" s="25" t="s">
        <v>222</v>
      </c>
      <c r="B10" s="8" t="s">
        <v>223</v>
      </c>
      <c r="C10" s="26" t="s">
        <v>224</v>
      </c>
      <c r="D10" s="7" t="s">
        <v>68</v>
      </c>
      <c r="E10" s="7"/>
      <c r="F10" s="7"/>
      <c r="G10" s="26"/>
      <c r="H10" s="26"/>
      <c r="I10" s="26"/>
    </row>
    <row r="11" customFormat="false" ht="42" hidden="false" customHeight="true" outlineLevel="0" collapsed="false">
      <c r="A11" s="27" t="s">
        <v>225</v>
      </c>
      <c r="B11" s="11" t="s">
        <v>226</v>
      </c>
      <c r="C11" s="28" t="s">
        <v>227</v>
      </c>
      <c r="D11" s="10" t="s">
        <v>68</v>
      </c>
      <c r="E11" s="10"/>
      <c r="F11" s="10"/>
      <c r="G11" s="28"/>
      <c r="H11" s="28"/>
      <c r="I11" s="28"/>
    </row>
    <row r="12" customFormat="false" ht="42" hidden="false" customHeight="true" outlineLevel="0" collapsed="false">
      <c r="A12" s="25" t="s">
        <v>228</v>
      </c>
      <c r="B12" s="8" t="s">
        <v>229</v>
      </c>
      <c r="C12" s="26" t="s">
        <v>230</v>
      </c>
      <c r="D12" s="7" t="s">
        <v>68</v>
      </c>
      <c r="E12" s="7"/>
      <c r="F12" s="7"/>
      <c r="G12" s="26"/>
      <c r="H12" s="26"/>
      <c r="I12" s="26"/>
    </row>
    <row r="13" customFormat="false" ht="42" hidden="false" customHeight="true" outlineLevel="0" collapsed="false">
      <c r="A13" s="27" t="s">
        <v>231</v>
      </c>
      <c r="B13" s="11" t="s">
        <v>232</v>
      </c>
      <c r="C13" s="28" t="s">
        <v>233</v>
      </c>
      <c r="D13" s="10" t="s">
        <v>68</v>
      </c>
      <c r="E13" s="10"/>
      <c r="F13" s="10"/>
      <c r="G13" s="28"/>
      <c r="H13" s="28"/>
      <c r="I13" s="28"/>
    </row>
    <row r="14" customFormat="false" ht="19.5" hidden="false" customHeight="true" outlineLevel="0" collapsed="false">
      <c r="A14" s="24" t="s">
        <v>234</v>
      </c>
      <c r="B14" s="24"/>
      <c r="C14" s="24"/>
      <c r="D14" s="24"/>
      <c r="E14" s="24"/>
      <c r="F14" s="24"/>
      <c r="G14" s="24"/>
      <c r="H14" s="24"/>
      <c r="I14" s="24"/>
    </row>
    <row r="15" customFormat="false" ht="42" hidden="false" customHeight="true" outlineLevel="0" collapsed="false">
      <c r="A15" s="27" t="s">
        <v>235</v>
      </c>
      <c r="B15" s="11" t="s">
        <v>236</v>
      </c>
      <c r="C15" s="28" t="s">
        <v>237</v>
      </c>
      <c r="D15" s="10" t="s">
        <v>68</v>
      </c>
      <c r="E15" s="10"/>
      <c r="F15" s="10"/>
      <c r="G15" s="28"/>
      <c r="H15" s="28"/>
      <c r="I15" s="28"/>
    </row>
    <row r="16" customFormat="false" ht="42" hidden="false" customHeight="true" outlineLevel="0" collapsed="false">
      <c r="A16" s="25" t="s">
        <v>238</v>
      </c>
      <c r="B16" s="8" t="s">
        <v>239</v>
      </c>
      <c r="C16" s="26" t="s">
        <v>240</v>
      </c>
      <c r="D16" s="7" t="s">
        <v>68</v>
      </c>
      <c r="E16" s="7"/>
      <c r="F16" s="7"/>
      <c r="G16" s="26"/>
      <c r="H16" s="26"/>
      <c r="I16" s="26"/>
    </row>
    <row r="17" customFormat="false" ht="42" hidden="false" customHeight="true" outlineLevel="0" collapsed="false">
      <c r="A17" s="27" t="s">
        <v>241</v>
      </c>
      <c r="B17" s="11" t="s">
        <v>242</v>
      </c>
      <c r="C17" s="28" t="s">
        <v>243</v>
      </c>
      <c r="D17" s="10" t="s">
        <v>68</v>
      </c>
      <c r="E17" s="10"/>
      <c r="F17" s="10"/>
      <c r="G17" s="28"/>
      <c r="H17" s="28"/>
      <c r="I17" s="28"/>
    </row>
    <row r="18" customFormat="false" ht="42" hidden="false" customHeight="true" outlineLevel="0" collapsed="false">
      <c r="A18" s="25" t="s">
        <v>244</v>
      </c>
      <c r="B18" s="8" t="s">
        <v>245</v>
      </c>
      <c r="C18" s="26" t="s">
        <v>246</v>
      </c>
      <c r="D18" s="7" t="s">
        <v>68</v>
      </c>
      <c r="E18" s="7"/>
      <c r="F18" s="7"/>
      <c r="G18" s="26"/>
      <c r="H18" s="26"/>
      <c r="I18" s="26"/>
    </row>
    <row r="19" customFormat="false" ht="42" hidden="false" customHeight="true" outlineLevel="0" collapsed="false">
      <c r="A19" s="27" t="s">
        <v>247</v>
      </c>
      <c r="B19" s="11" t="s">
        <v>248</v>
      </c>
      <c r="C19" s="28" t="s">
        <v>249</v>
      </c>
      <c r="D19" s="10" t="s">
        <v>68</v>
      </c>
      <c r="E19" s="10"/>
      <c r="F19" s="10"/>
      <c r="G19" s="28"/>
      <c r="H19" s="28"/>
      <c r="I19" s="28"/>
    </row>
    <row r="20" customFormat="false" ht="42" hidden="false" customHeight="true" outlineLevel="0" collapsed="false">
      <c r="A20" s="25" t="s">
        <v>250</v>
      </c>
      <c r="B20" s="8" t="s">
        <v>251</v>
      </c>
      <c r="C20" s="26" t="s">
        <v>252</v>
      </c>
      <c r="D20" s="7" t="s">
        <v>68</v>
      </c>
      <c r="E20" s="7"/>
      <c r="F20" s="7"/>
      <c r="G20" s="26"/>
      <c r="H20" s="26"/>
      <c r="I20" s="26"/>
    </row>
    <row r="21" customFormat="false" ht="19.5" hidden="false" customHeight="true" outlineLevel="0" collapsed="false">
      <c r="A21" s="24" t="s">
        <v>253</v>
      </c>
      <c r="B21" s="24"/>
      <c r="C21" s="24"/>
      <c r="D21" s="24"/>
      <c r="E21" s="24"/>
      <c r="F21" s="24"/>
      <c r="G21" s="24"/>
      <c r="H21" s="24"/>
      <c r="I21" s="24"/>
    </row>
    <row r="22" customFormat="false" ht="42" hidden="false" customHeight="true" outlineLevel="0" collapsed="false">
      <c r="A22" s="25" t="s">
        <v>254</v>
      </c>
      <c r="B22" s="8" t="s">
        <v>255</v>
      </c>
      <c r="C22" s="26" t="s">
        <v>256</v>
      </c>
      <c r="D22" s="7" t="s">
        <v>68</v>
      </c>
      <c r="E22" s="7"/>
      <c r="F22" s="7"/>
      <c r="G22" s="26"/>
      <c r="H22" s="26"/>
      <c r="I22" s="26"/>
    </row>
    <row r="23" customFormat="false" ht="42" hidden="false" customHeight="true" outlineLevel="0" collapsed="false">
      <c r="A23" s="27" t="s">
        <v>257</v>
      </c>
      <c r="B23" s="11" t="s">
        <v>258</v>
      </c>
      <c r="C23" s="28" t="s">
        <v>259</v>
      </c>
      <c r="D23" s="10" t="s">
        <v>68</v>
      </c>
      <c r="E23" s="10"/>
      <c r="F23" s="10"/>
      <c r="G23" s="28"/>
      <c r="H23" s="28"/>
      <c r="I23" s="28"/>
    </row>
    <row r="24" customFormat="false" ht="42" hidden="false" customHeight="true" outlineLevel="0" collapsed="false">
      <c r="A24" s="25" t="s">
        <v>260</v>
      </c>
      <c r="B24" s="8" t="s">
        <v>261</v>
      </c>
      <c r="C24" s="26" t="s">
        <v>262</v>
      </c>
      <c r="D24" s="7" t="s">
        <v>68</v>
      </c>
      <c r="E24" s="7"/>
      <c r="F24" s="7"/>
      <c r="G24" s="26"/>
      <c r="H24" s="26"/>
      <c r="I24" s="26"/>
    </row>
    <row r="25" customFormat="false" ht="42" hidden="false" customHeight="true" outlineLevel="0" collapsed="false">
      <c r="A25" s="27" t="s">
        <v>263</v>
      </c>
      <c r="B25" s="11" t="s">
        <v>264</v>
      </c>
      <c r="C25" s="28" t="s">
        <v>265</v>
      </c>
      <c r="D25" s="10" t="s">
        <v>68</v>
      </c>
      <c r="E25" s="10"/>
      <c r="F25" s="10"/>
      <c r="G25" s="28"/>
      <c r="H25" s="28"/>
      <c r="I25" s="28"/>
    </row>
    <row r="26" customFormat="false" ht="42" hidden="false" customHeight="true" outlineLevel="0" collapsed="false">
      <c r="A26" s="25" t="s">
        <v>266</v>
      </c>
      <c r="B26" s="8" t="s">
        <v>267</v>
      </c>
      <c r="C26" s="26" t="s">
        <v>268</v>
      </c>
      <c r="D26" s="7" t="s">
        <v>68</v>
      </c>
      <c r="E26" s="7"/>
      <c r="F26" s="7"/>
      <c r="G26" s="26"/>
      <c r="H26" s="26"/>
      <c r="I26" s="26"/>
    </row>
    <row r="27" customFormat="false" ht="42" hidden="false" customHeight="true" outlineLevel="0" collapsed="false">
      <c r="A27" s="27" t="s">
        <v>269</v>
      </c>
      <c r="B27" s="11" t="s">
        <v>270</v>
      </c>
      <c r="C27" s="28" t="s">
        <v>271</v>
      </c>
      <c r="D27" s="10" t="s">
        <v>68</v>
      </c>
      <c r="E27" s="10"/>
      <c r="F27" s="10"/>
      <c r="G27" s="28"/>
      <c r="H27" s="28"/>
      <c r="I27" s="28"/>
    </row>
    <row r="28" customFormat="false" ht="42" hidden="false" customHeight="true" outlineLevel="0" collapsed="false">
      <c r="A28" s="25" t="s">
        <v>272</v>
      </c>
      <c r="B28" s="8" t="s">
        <v>273</v>
      </c>
      <c r="C28" s="26" t="s">
        <v>274</v>
      </c>
      <c r="D28" s="7" t="s">
        <v>68</v>
      </c>
      <c r="E28" s="7"/>
      <c r="F28" s="7"/>
      <c r="G28" s="26"/>
      <c r="H28" s="26"/>
      <c r="I28" s="26"/>
    </row>
    <row r="29" customFormat="false" ht="42" hidden="false" customHeight="true" outlineLevel="0" collapsed="false">
      <c r="A29" s="27" t="s">
        <v>275</v>
      </c>
      <c r="B29" s="11" t="s">
        <v>276</v>
      </c>
      <c r="C29" s="28" t="s">
        <v>277</v>
      </c>
      <c r="D29" s="10" t="s">
        <v>68</v>
      </c>
      <c r="E29" s="10"/>
      <c r="F29" s="10"/>
      <c r="G29" s="28"/>
      <c r="H29" s="28"/>
      <c r="I29" s="28"/>
    </row>
    <row r="30" customFormat="false" ht="42" hidden="false" customHeight="true" outlineLevel="0" collapsed="false">
      <c r="A30" s="25" t="s">
        <v>278</v>
      </c>
      <c r="B30" s="8" t="s">
        <v>279</v>
      </c>
      <c r="C30" s="26" t="s">
        <v>280</v>
      </c>
      <c r="D30" s="7" t="s">
        <v>68</v>
      </c>
      <c r="E30" s="7"/>
      <c r="F30" s="7"/>
      <c r="G30" s="26"/>
      <c r="H30" s="26"/>
      <c r="I30" s="26"/>
    </row>
    <row r="31" customFormat="false" ht="42" hidden="false" customHeight="true" outlineLevel="0" collapsed="false">
      <c r="A31" s="27" t="s">
        <v>281</v>
      </c>
      <c r="B31" s="11" t="s">
        <v>282</v>
      </c>
      <c r="C31" s="28" t="s">
        <v>283</v>
      </c>
      <c r="D31" s="10" t="s">
        <v>68</v>
      </c>
      <c r="E31" s="10"/>
      <c r="F31" s="10"/>
      <c r="G31" s="28"/>
      <c r="H31" s="28"/>
      <c r="I31" s="28"/>
    </row>
    <row r="32" customFormat="false" ht="19.5" hidden="false" customHeight="true" outlineLevel="0" collapsed="false">
      <c r="A32" s="24" t="s">
        <v>284</v>
      </c>
      <c r="B32" s="24"/>
      <c r="C32" s="24"/>
      <c r="D32" s="24"/>
      <c r="E32" s="24"/>
      <c r="F32" s="24"/>
      <c r="G32" s="24"/>
      <c r="H32" s="24"/>
      <c r="I32" s="24"/>
    </row>
    <row r="33" customFormat="false" ht="42" hidden="false" customHeight="true" outlineLevel="0" collapsed="false">
      <c r="A33" s="27" t="s">
        <v>285</v>
      </c>
      <c r="B33" s="11" t="s">
        <v>286</v>
      </c>
      <c r="C33" s="28" t="s">
        <v>287</v>
      </c>
      <c r="D33" s="10" t="s">
        <v>68</v>
      </c>
      <c r="E33" s="10"/>
      <c r="F33" s="10"/>
      <c r="G33" s="28"/>
      <c r="H33" s="28"/>
      <c r="I33" s="28"/>
    </row>
    <row r="34" customFormat="false" ht="42" hidden="false" customHeight="true" outlineLevel="0" collapsed="false">
      <c r="A34" s="25" t="s">
        <v>288</v>
      </c>
      <c r="B34" s="8" t="s">
        <v>289</v>
      </c>
      <c r="C34" s="26" t="s">
        <v>290</v>
      </c>
      <c r="D34" s="7" t="s">
        <v>68</v>
      </c>
      <c r="E34" s="7"/>
      <c r="F34" s="7"/>
      <c r="G34" s="26"/>
      <c r="H34" s="26"/>
      <c r="I34" s="26"/>
    </row>
    <row r="35" customFormat="false" ht="42" hidden="false" customHeight="true" outlineLevel="0" collapsed="false">
      <c r="A35" s="27" t="s">
        <v>291</v>
      </c>
      <c r="B35" s="11" t="s">
        <v>292</v>
      </c>
      <c r="C35" s="28" t="s">
        <v>293</v>
      </c>
      <c r="D35" s="10" t="s">
        <v>68</v>
      </c>
      <c r="E35" s="10"/>
      <c r="F35" s="10"/>
      <c r="G35" s="28"/>
      <c r="H35" s="28"/>
      <c r="I35" s="28"/>
    </row>
    <row r="36" customFormat="false" ht="42" hidden="false" customHeight="true" outlineLevel="0" collapsed="false">
      <c r="A36" s="25" t="s">
        <v>294</v>
      </c>
      <c r="B36" s="8" t="s">
        <v>295</v>
      </c>
      <c r="C36" s="26" t="s">
        <v>296</v>
      </c>
      <c r="D36" s="7" t="s">
        <v>68</v>
      </c>
      <c r="E36" s="7"/>
      <c r="F36" s="7"/>
      <c r="G36" s="26"/>
      <c r="H36" s="26"/>
      <c r="I36" s="26"/>
    </row>
    <row r="37" customFormat="false" ht="42" hidden="false" customHeight="true" outlineLevel="0" collapsed="false">
      <c r="A37" s="27" t="s">
        <v>297</v>
      </c>
      <c r="B37" s="11" t="s">
        <v>298</v>
      </c>
      <c r="C37" s="28" t="s">
        <v>299</v>
      </c>
      <c r="D37" s="10" t="s">
        <v>68</v>
      </c>
      <c r="E37" s="10"/>
      <c r="F37" s="10"/>
      <c r="G37" s="28"/>
      <c r="H37" s="28"/>
      <c r="I37" s="28"/>
    </row>
    <row r="38" customFormat="false" ht="42" hidden="false" customHeight="true" outlineLevel="0" collapsed="false">
      <c r="A38" s="25" t="s">
        <v>300</v>
      </c>
      <c r="B38" s="8" t="s">
        <v>301</v>
      </c>
      <c r="C38" s="26" t="s">
        <v>302</v>
      </c>
      <c r="D38" s="7" t="s">
        <v>68</v>
      </c>
      <c r="E38" s="7"/>
      <c r="F38" s="7"/>
      <c r="G38" s="26"/>
      <c r="H38" s="26"/>
      <c r="I38" s="26"/>
    </row>
    <row r="39" customFormat="false" ht="42" hidden="false" customHeight="true" outlineLevel="0" collapsed="false">
      <c r="A39" s="27" t="s">
        <v>303</v>
      </c>
      <c r="B39" s="11" t="s">
        <v>304</v>
      </c>
      <c r="C39" s="28" t="s">
        <v>305</v>
      </c>
      <c r="D39" s="10" t="s">
        <v>68</v>
      </c>
      <c r="E39" s="10"/>
      <c r="F39" s="10"/>
      <c r="G39" s="28"/>
      <c r="H39" s="28"/>
      <c r="I39" s="28"/>
    </row>
    <row r="40" customFormat="false" ht="42" hidden="false" customHeight="true" outlineLevel="0" collapsed="false">
      <c r="A40" s="25" t="s">
        <v>306</v>
      </c>
      <c r="B40" s="8" t="s">
        <v>307</v>
      </c>
      <c r="C40" s="26" t="s">
        <v>308</v>
      </c>
      <c r="D40" s="7" t="s">
        <v>68</v>
      </c>
      <c r="E40" s="7"/>
      <c r="F40" s="7"/>
      <c r="G40" s="26"/>
      <c r="H40" s="26"/>
      <c r="I40" s="26"/>
    </row>
    <row r="41" customFormat="false" ht="42" hidden="false" customHeight="true" outlineLevel="0" collapsed="false">
      <c r="A41" s="27" t="s">
        <v>309</v>
      </c>
      <c r="B41" s="11" t="s">
        <v>310</v>
      </c>
      <c r="C41" s="28" t="s">
        <v>311</v>
      </c>
      <c r="D41" s="10" t="s">
        <v>68</v>
      </c>
      <c r="E41" s="10"/>
      <c r="F41" s="10"/>
      <c r="G41" s="28"/>
      <c r="H41" s="28"/>
      <c r="I41" s="28"/>
    </row>
    <row r="42" customFormat="false" ht="42" hidden="false" customHeight="true" outlineLevel="0" collapsed="false">
      <c r="A42" s="25" t="s">
        <v>312</v>
      </c>
      <c r="B42" s="8" t="s">
        <v>313</v>
      </c>
      <c r="C42" s="26" t="s">
        <v>314</v>
      </c>
      <c r="D42" s="7" t="s">
        <v>68</v>
      </c>
      <c r="E42" s="7"/>
      <c r="F42" s="7"/>
      <c r="G42" s="26"/>
      <c r="H42" s="26"/>
      <c r="I42" s="26"/>
    </row>
    <row r="43" customFormat="false" ht="42" hidden="false" customHeight="true" outlineLevel="0" collapsed="false">
      <c r="A43" s="27" t="s">
        <v>315</v>
      </c>
      <c r="B43" s="11" t="s">
        <v>316</v>
      </c>
      <c r="C43" s="28" t="s">
        <v>317</v>
      </c>
      <c r="D43" s="10" t="s">
        <v>68</v>
      </c>
      <c r="E43" s="10"/>
      <c r="F43" s="10"/>
      <c r="G43" s="28"/>
      <c r="H43" s="28"/>
      <c r="I43" s="28"/>
    </row>
    <row r="44" customFormat="false" ht="42" hidden="false" customHeight="true" outlineLevel="0" collapsed="false">
      <c r="A44" s="25" t="s">
        <v>318</v>
      </c>
      <c r="B44" s="8" t="s">
        <v>319</v>
      </c>
      <c r="C44" s="26" t="s">
        <v>320</v>
      </c>
      <c r="D44" s="7" t="s">
        <v>68</v>
      </c>
      <c r="E44" s="7"/>
      <c r="F44" s="7"/>
      <c r="G44" s="26"/>
      <c r="H44" s="26"/>
      <c r="I44" s="26"/>
    </row>
    <row r="45" customFormat="false" ht="42" hidden="false" customHeight="true" outlineLevel="0" collapsed="false">
      <c r="A45" s="27" t="s">
        <v>321</v>
      </c>
      <c r="B45" s="11" t="s">
        <v>322</v>
      </c>
      <c r="C45" s="28" t="s">
        <v>323</v>
      </c>
      <c r="D45" s="10" t="s">
        <v>68</v>
      </c>
      <c r="E45" s="10"/>
      <c r="F45" s="10"/>
      <c r="G45" s="28"/>
      <c r="H45" s="28"/>
      <c r="I45" s="28"/>
    </row>
    <row r="46" customFormat="false" ht="42" hidden="false" customHeight="true" outlineLevel="0" collapsed="false">
      <c r="A46" s="25" t="s">
        <v>324</v>
      </c>
      <c r="B46" s="8" t="s">
        <v>325</v>
      </c>
      <c r="C46" s="26" t="s">
        <v>326</v>
      </c>
      <c r="D46" s="7" t="s">
        <v>68</v>
      </c>
      <c r="E46" s="7"/>
      <c r="F46" s="7"/>
      <c r="G46" s="26"/>
      <c r="H46" s="26"/>
      <c r="I46" s="26"/>
    </row>
    <row r="47" customFormat="false" ht="19.5" hidden="false" customHeight="true" outlineLevel="0" collapsed="false">
      <c r="A47" s="24" t="s">
        <v>327</v>
      </c>
      <c r="B47" s="24"/>
      <c r="C47" s="24"/>
      <c r="D47" s="24"/>
      <c r="E47" s="24"/>
      <c r="F47" s="24"/>
      <c r="G47" s="24"/>
      <c r="H47" s="24"/>
      <c r="I47" s="24"/>
    </row>
    <row r="48" customFormat="false" ht="42" hidden="false" customHeight="true" outlineLevel="0" collapsed="false">
      <c r="A48" s="25" t="s">
        <v>328</v>
      </c>
      <c r="B48" s="8" t="s">
        <v>329</v>
      </c>
      <c r="C48" s="26" t="s">
        <v>330</v>
      </c>
      <c r="D48" s="7" t="s">
        <v>68</v>
      </c>
      <c r="E48" s="7"/>
      <c r="F48" s="7"/>
      <c r="G48" s="26"/>
      <c r="H48" s="26"/>
      <c r="I48" s="26"/>
    </row>
    <row r="49" customFormat="false" ht="42" hidden="false" customHeight="true" outlineLevel="0" collapsed="false">
      <c r="A49" s="27" t="s">
        <v>331</v>
      </c>
      <c r="B49" s="11" t="s">
        <v>332</v>
      </c>
      <c r="C49" s="28" t="s">
        <v>333</v>
      </c>
      <c r="D49" s="10" t="s">
        <v>68</v>
      </c>
      <c r="E49" s="10"/>
      <c r="F49" s="10"/>
      <c r="G49" s="28"/>
      <c r="H49" s="28"/>
      <c r="I49" s="28"/>
    </row>
    <row r="50" customFormat="false" ht="19.5" hidden="false" customHeight="true" outlineLevel="0" collapsed="false">
      <c r="A50" s="24" t="s">
        <v>334</v>
      </c>
      <c r="B50" s="24"/>
      <c r="C50" s="24"/>
      <c r="D50" s="24"/>
      <c r="E50" s="24"/>
      <c r="F50" s="24"/>
      <c r="G50" s="24"/>
      <c r="H50" s="24"/>
      <c r="I50" s="24"/>
    </row>
    <row r="51" customFormat="false" ht="42" hidden="false" customHeight="true" outlineLevel="0" collapsed="false">
      <c r="A51" s="27" t="s">
        <v>335</v>
      </c>
      <c r="B51" s="11" t="s">
        <v>336</v>
      </c>
      <c r="C51" s="28" t="s">
        <v>337</v>
      </c>
      <c r="D51" s="10" t="s">
        <v>68</v>
      </c>
      <c r="E51" s="10"/>
      <c r="F51" s="10"/>
      <c r="G51" s="28"/>
      <c r="H51" s="28"/>
      <c r="I51" s="28"/>
    </row>
    <row r="52" customFormat="false" ht="42" hidden="false" customHeight="true" outlineLevel="0" collapsed="false">
      <c r="A52" s="25" t="s">
        <v>338</v>
      </c>
      <c r="B52" s="8" t="s">
        <v>339</v>
      </c>
      <c r="C52" s="26" t="s">
        <v>340</v>
      </c>
      <c r="D52" s="7" t="s">
        <v>68</v>
      </c>
      <c r="E52" s="7"/>
      <c r="F52" s="7"/>
      <c r="G52" s="26"/>
      <c r="H52" s="26"/>
      <c r="I52" s="26"/>
    </row>
    <row r="53" customFormat="false" ht="42" hidden="false" customHeight="true" outlineLevel="0" collapsed="false">
      <c r="A53" s="27" t="s">
        <v>341</v>
      </c>
      <c r="B53" s="11" t="s">
        <v>342</v>
      </c>
      <c r="C53" s="28" t="s">
        <v>343</v>
      </c>
      <c r="D53" s="10" t="s">
        <v>68</v>
      </c>
      <c r="E53" s="10"/>
      <c r="F53" s="10"/>
      <c r="G53" s="28"/>
      <c r="H53" s="28"/>
      <c r="I53" s="28"/>
    </row>
    <row r="54" customFormat="false" ht="42" hidden="false" customHeight="true" outlineLevel="0" collapsed="false">
      <c r="A54" s="25" t="s">
        <v>344</v>
      </c>
      <c r="B54" s="8" t="s">
        <v>345</v>
      </c>
      <c r="C54" s="26" t="s">
        <v>346</v>
      </c>
      <c r="D54" s="7" t="s">
        <v>68</v>
      </c>
      <c r="E54" s="7"/>
      <c r="F54" s="7"/>
      <c r="G54" s="26"/>
      <c r="H54" s="26"/>
      <c r="I54" s="26"/>
    </row>
    <row r="55" customFormat="false" ht="42" hidden="false" customHeight="true" outlineLevel="0" collapsed="false">
      <c r="A55" s="27" t="s">
        <v>347</v>
      </c>
      <c r="B55" s="11" t="s">
        <v>348</v>
      </c>
      <c r="C55" s="28" t="s">
        <v>349</v>
      </c>
      <c r="D55" s="10" t="s">
        <v>68</v>
      </c>
      <c r="E55" s="10"/>
      <c r="F55" s="10"/>
      <c r="G55" s="28"/>
      <c r="H55" s="28"/>
      <c r="I55" s="28"/>
    </row>
    <row r="56" customFormat="false" ht="42" hidden="false" customHeight="true" outlineLevel="0" collapsed="false">
      <c r="A56" s="25" t="s">
        <v>350</v>
      </c>
      <c r="B56" s="8" t="s">
        <v>351</v>
      </c>
      <c r="C56" s="26" t="s">
        <v>352</v>
      </c>
      <c r="D56" s="7" t="s">
        <v>68</v>
      </c>
      <c r="E56" s="7"/>
      <c r="F56" s="7"/>
      <c r="G56" s="26"/>
      <c r="H56" s="26"/>
      <c r="I56" s="26"/>
    </row>
    <row r="57" customFormat="false" ht="42" hidden="false" customHeight="true" outlineLevel="0" collapsed="false">
      <c r="A57" s="27" t="s">
        <v>353</v>
      </c>
      <c r="B57" s="11" t="s">
        <v>354</v>
      </c>
      <c r="C57" s="28" t="s">
        <v>355</v>
      </c>
      <c r="D57" s="10" t="s">
        <v>68</v>
      </c>
      <c r="E57" s="10"/>
      <c r="F57" s="10"/>
      <c r="G57" s="28"/>
      <c r="H57" s="28"/>
      <c r="I57" s="28"/>
    </row>
    <row r="58" customFormat="false" ht="42" hidden="false" customHeight="true" outlineLevel="0" collapsed="false">
      <c r="A58" s="25" t="s">
        <v>356</v>
      </c>
      <c r="B58" s="8" t="s">
        <v>357</v>
      </c>
      <c r="C58" s="26" t="s">
        <v>358</v>
      </c>
      <c r="D58" s="7" t="s">
        <v>68</v>
      </c>
      <c r="E58" s="7"/>
      <c r="F58" s="7"/>
      <c r="G58" s="26"/>
      <c r="H58" s="26"/>
      <c r="I58" s="26"/>
    </row>
    <row r="59" customFormat="false" ht="42" hidden="false" customHeight="true" outlineLevel="0" collapsed="false">
      <c r="A59" s="27" t="s">
        <v>359</v>
      </c>
      <c r="B59" s="11" t="s">
        <v>360</v>
      </c>
      <c r="C59" s="28" t="s">
        <v>361</v>
      </c>
      <c r="D59" s="10" t="s">
        <v>68</v>
      </c>
      <c r="E59" s="10"/>
      <c r="F59" s="10"/>
      <c r="G59" s="28"/>
      <c r="H59" s="28"/>
      <c r="I59" s="28"/>
    </row>
    <row r="60" customFormat="false" ht="42" hidden="false" customHeight="true" outlineLevel="0" collapsed="false">
      <c r="A60" s="25" t="s">
        <v>362</v>
      </c>
      <c r="B60" s="8" t="s">
        <v>363</v>
      </c>
      <c r="C60" s="26" t="s">
        <v>364</v>
      </c>
      <c r="D60" s="7" t="s">
        <v>68</v>
      </c>
      <c r="E60" s="7"/>
      <c r="F60" s="7"/>
      <c r="G60" s="26"/>
      <c r="H60" s="26"/>
      <c r="I60" s="26"/>
    </row>
    <row r="61" customFormat="false" ht="42" hidden="false" customHeight="true" outlineLevel="0" collapsed="false">
      <c r="A61" s="27" t="s">
        <v>365</v>
      </c>
      <c r="B61" s="11" t="s">
        <v>366</v>
      </c>
      <c r="C61" s="28" t="s">
        <v>367</v>
      </c>
      <c r="D61" s="10" t="s">
        <v>68</v>
      </c>
      <c r="E61" s="10"/>
      <c r="F61" s="10"/>
      <c r="G61" s="28"/>
      <c r="H61" s="28"/>
      <c r="I61" s="28"/>
    </row>
    <row r="62" customFormat="false" ht="42" hidden="false" customHeight="true" outlineLevel="0" collapsed="false">
      <c r="A62" s="25" t="s">
        <v>368</v>
      </c>
      <c r="B62" s="8" t="s">
        <v>369</v>
      </c>
      <c r="C62" s="26" t="s">
        <v>370</v>
      </c>
      <c r="D62" s="7" t="s">
        <v>68</v>
      </c>
      <c r="E62" s="7"/>
      <c r="F62" s="7"/>
      <c r="G62" s="26"/>
      <c r="H62" s="26"/>
      <c r="I62" s="26"/>
    </row>
    <row r="63" customFormat="false" ht="42" hidden="false" customHeight="true" outlineLevel="0" collapsed="false">
      <c r="A63" s="27" t="s">
        <v>371</v>
      </c>
      <c r="B63" s="11" t="s">
        <v>372</v>
      </c>
      <c r="C63" s="28" t="s">
        <v>373</v>
      </c>
      <c r="D63" s="10" t="s">
        <v>68</v>
      </c>
      <c r="E63" s="10"/>
      <c r="F63" s="10"/>
      <c r="G63" s="28"/>
      <c r="H63" s="28"/>
      <c r="I63" s="28"/>
    </row>
    <row r="64" customFormat="false" ht="42" hidden="false" customHeight="true" outlineLevel="0" collapsed="false">
      <c r="A64" s="25" t="s">
        <v>374</v>
      </c>
      <c r="B64" s="8" t="s">
        <v>375</v>
      </c>
      <c r="C64" s="26" t="s">
        <v>376</v>
      </c>
      <c r="D64" s="7" t="s">
        <v>68</v>
      </c>
      <c r="E64" s="7"/>
      <c r="F64" s="7"/>
      <c r="G64" s="26"/>
      <c r="H64" s="26"/>
      <c r="I64" s="26"/>
    </row>
    <row r="65" customFormat="false" ht="42" hidden="false" customHeight="true" outlineLevel="0" collapsed="false">
      <c r="A65" s="27" t="s">
        <v>377</v>
      </c>
      <c r="B65" s="11" t="s">
        <v>378</v>
      </c>
      <c r="C65" s="28" t="s">
        <v>379</v>
      </c>
      <c r="D65" s="10" t="s">
        <v>68</v>
      </c>
      <c r="E65" s="10"/>
      <c r="F65" s="10"/>
      <c r="G65" s="28"/>
      <c r="H65" s="28"/>
      <c r="I65" s="28"/>
    </row>
    <row r="66" customFormat="false" ht="19.5" hidden="false" customHeight="true" outlineLevel="0" collapsed="false">
      <c r="A66" s="24" t="s">
        <v>380</v>
      </c>
      <c r="B66" s="24"/>
      <c r="C66" s="24"/>
      <c r="D66" s="24"/>
      <c r="E66" s="24"/>
      <c r="F66" s="24"/>
      <c r="G66" s="24"/>
      <c r="H66" s="24"/>
      <c r="I66" s="24"/>
    </row>
    <row r="67" customFormat="false" ht="42" hidden="false" customHeight="true" outlineLevel="0" collapsed="false">
      <c r="A67" s="27" t="s">
        <v>381</v>
      </c>
      <c r="B67" s="11" t="s">
        <v>382</v>
      </c>
      <c r="C67" s="28" t="s">
        <v>383</v>
      </c>
      <c r="D67" s="10" t="s">
        <v>68</v>
      </c>
      <c r="E67" s="10"/>
      <c r="F67" s="10"/>
      <c r="G67" s="28"/>
      <c r="H67" s="28"/>
      <c r="I67" s="28"/>
    </row>
    <row r="68" customFormat="false" ht="42" hidden="false" customHeight="true" outlineLevel="0" collapsed="false">
      <c r="A68" s="25" t="s">
        <v>384</v>
      </c>
      <c r="B68" s="8" t="s">
        <v>385</v>
      </c>
      <c r="C68" s="26" t="s">
        <v>386</v>
      </c>
      <c r="D68" s="7" t="s">
        <v>68</v>
      </c>
      <c r="E68" s="7"/>
      <c r="F68" s="7"/>
      <c r="G68" s="26"/>
      <c r="H68" s="26"/>
      <c r="I68" s="26"/>
    </row>
    <row r="69" customFormat="false" ht="42" hidden="false" customHeight="true" outlineLevel="0" collapsed="false">
      <c r="A69" s="27" t="s">
        <v>387</v>
      </c>
      <c r="B69" s="11" t="s">
        <v>388</v>
      </c>
      <c r="C69" s="28" t="s">
        <v>389</v>
      </c>
      <c r="D69" s="10" t="s">
        <v>68</v>
      </c>
      <c r="E69" s="10"/>
      <c r="F69" s="10"/>
      <c r="G69" s="28"/>
      <c r="H69" s="28"/>
      <c r="I69" s="28"/>
    </row>
    <row r="70" customFormat="false" ht="42" hidden="false" customHeight="true" outlineLevel="0" collapsed="false">
      <c r="A70" s="25" t="s">
        <v>390</v>
      </c>
      <c r="B70" s="8" t="s">
        <v>391</v>
      </c>
      <c r="C70" s="26" t="s">
        <v>392</v>
      </c>
      <c r="D70" s="7" t="s">
        <v>68</v>
      </c>
      <c r="E70" s="7"/>
      <c r="F70" s="7"/>
      <c r="G70" s="26"/>
      <c r="H70" s="26"/>
      <c r="I70" s="26"/>
    </row>
    <row r="71" customFormat="false" ht="42" hidden="false" customHeight="true" outlineLevel="0" collapsed="false">
      <c r="A71" s="27" t="s">
        <v>393</v>
      </c>
      <c r="B71" s="11" t="s">
        <v>394</v>
      </c>
      <c r="C71" s="28" t="s">
        <v>395</v>
      </c>
      <c r="D71" s="10" t="s">
        <v>68</v>
      </c>
      <c r="E71" s="10"/>
      <c r="F71" s="10"/>
      <c r="G71" s="28"/>
      <c r="H71" s="28"/>
      <c r="I71" s="28"/>
    </row>
    <row r="72" customFormat="false" ht="42" hidden="false" customHeight="true" outlineLevel="0" collapsed="false">
      <c r="A72" s="25" t="s">
        <v>396</v>
      </c>
      <c r="B72" s="8" t="s">
        <v>397</v>
      </c>
      <c r="C72" s="26" t="s">
        <v>398</v>
      </c>
      <c r="D72" s="7" t="s">
        <v>68</v>
      </c>
      <c r="E72" s="7"/>
      <c r="F72" s="7"/>
      <c r="G72" s="26"/>
      <c r="H72" s="26"/>
      <c r="I72" s="26"/>
    </row>
    <row r="73" customFormat="false" ht="42" hidden="false" customHeight="true" outlineLevel="0" collapsed="false">
      <c r="A73" s="27" t="s">
        <v>399</v>
      </c>
      <c r="B73" s="11" t="s">
        <v>400</v>
      </c>
      <c r="C73" s="28" t="s">
        <v>401</v>
      </c>
      <c r="D73" s="10" t="s">
        <v>68</v>
      </c>
      <c r="E73" s="10"/>
      <c r="F73" s="10"/>
      <c r="G73" s="28"/>
      <c r="H73" s="28"/>
      <c r="I73" s="28"/>
    </row>
    <row r="74" customFormat="false" ht="42" hidden="false" customHeight="true" outlineLevel="0" collapsed="false">
      <c r="A74" s="25" t="s">
        <v>402</v>
      </c>
      <c r="B74" s="8" t="s">
        <v>403</v>
      </c>
      <c r="C74" s="26" t="s">
        <v>404</v>
      </c>
      <c r="D74" s="7" t="s">
        <v>68</v>
      </c>
      <c r="E74" s="7"/>
      <c r="F74" s="7"/>
      <c r="G74" s="26"/>
      <c r="H74" s="26"/>
      <c r="I74" s="26"/>
    </row>
    <row r="75" customFormat="false" ht="42" hidden="false" customHeight="true" outlineLevel="0" collapsed="false">
      <c r="A75" s="27" t="s">
        <v>405</v>
      </c>
      <c r="B75" s="11" t="s">
        <v>406</v>
      </c>
      <c r="C75" s="28" t="s">
        <v>407</v>
      </c>
      <c r="D75" s="10" t="s">
        <v>68</v>
      </c>
      <c r="E75" s="10"/>
      <c r="F75" s="10"/>
      <c r="G75" s="28"/>
      <c r="H75" s="28"/>
      <c r="I75" s="28"/>
    </row>
    <row r="76" customFormat="false" ht="42" hidden="false" customHeight="true" outlineLevel="0" collapsed="false">
      <c r="A76" s="25" t="s">
        <v>408</v>
      </c>
      <c r="B76" s="8" t="s">
        <v>409</v>
      </c>
      <c r="C76" s="26" t="s">
        <v>410</v>
      </c>
      <c r="D76" s="7" t="s">
        <v>68</v>
      </c>
      <c r="E76" s="7"/>
      <c r="F76" s="7"/>
      <c r="G76" s="26"/>
      <c r="H76" s="26"/>
      <c r="I76" s="26"/>
    </row>
    <row r="77" customFormat="false" ht="42" hidden="false" customHeight="true" outlineLevel="0" collapsed="false">
      <c r="A77" s="27" t="s">
        <v>411</v>
      </c>
      <c r="B77" s="11" t="s">
        <v>412</v>
      </c>
      <c r="C77" s="28" t="s">
        <v>413</v>
      </c>
      <c r="D77" s="10" t="s">
        <v>68</v>
      </c>
      <c r="E77" s="10"/>
      <c r="F77" s="10"/>
      <c r="G77" s="28"/>
      <c r="H77" s="28"/>
      <c r="I77" s="28"/>
    </row>
    <row r="78" customFormat="false" ht="42" hidden="false" customHeight="true" outlineLevel="0" collapsed="false">
      <c r="A78" s="25" t="s">
        <v>414</v>
      </c>
      <c r="B78" s="8" t="s">
        <v>167</v>
      </c>
      <c r="C78" s="26" t="s">
        <v>415</v>
      </c>
      <c r="D78" s="7" t="s">
        <v>68</v>
      </c>
      <c r="E78" s="7"/>
      <c r="F78" s="7"/>
      <c r="G78" s="26"/>
      <c r="H78" s="26"/>
      <c r="I78" s="26"/>
    </row>
    <row r="79" customFormat="false" ht="42" hidden="false" customHeight="true" outlineLevel="0" collapsed="false">
      <c r="A79" s="27" t="s">
        <v>416</v>
      </c>
      <c r="B79" s="11" t="s">
        <v>417</v>
      </c>
      <c r="C79" s="28" t="s">
        <v>418</v>
      </c>
      <c r="D79" s="10" t="s">
        <v>68</v>
      </c>
      <c r="E79" s="10"/>
      <c r="F79" s="10"/>
      <c r="G79" s="28"/>
      <c r="H79" s="28"/>
      <c r="I79" s="28"/>
    </row>
    <row r="80" customFormat="false" ht="42" hidden="false" customHeight="true" outlineLevel="0" collapsed="false">
      <c r="A80" s="25" t="s">
        <v>419</v>
      </c>
      <c r="B80" s="8" t="s">
        <v>420</v>
      </c>
      <c r="C80" s="26" t="s">
        <v>421</v>
      </c>
      <c r="D80" s="7" t="s">
        <v>68</v>
      </c>
      <c r="E80" s="7"/>
      <c r="F80" s="7"/>
      <c r="G80" s="26"/>
      <c r="H80" s="26"/>
      <c r="I80" s="26"/>
    </row>
    <row r="81" customFormat="false" ht="19.5" hidden="false" customHeight="true" outlineLevel="0" collapsed="false">
      <c r="A81" s="24" t="s">
        <v>422</v>
      </c>
      <c r="B81" s="24"/>
      <c r="C81" s="24"/>
      <c r="D81" s="24"/>
      <c r="E81" s="24"/>
      <c r="F81" s="24"/>
      <c r="G81" s="24"/>
      <c r="H81" s="24"/>
      <c r="I81" s="24"/>
    </row>
    <row r="82" customFormat="false" ht="42" hidden="false" customHeight="true" outlineLevel="0" collapsed="false">
      <c r="A82" s="25" t="s">
        <v>423</v>
      </c>
      <c r="B82" s="8" t="s">
        <v>420</v>
      </c>
      <c r="C82" s="26" t="s">
        <v>424</v>
      </c>
      <c r="D82" s="7" t="s">
        <v>68</v>
      </c>
      <c r="E82" s="7"/>
      <c r="F82" s="7"/>
      <c r="G82" s="26"/>
      <c r="H82" s="26"/>
      <c r="I82" s="26"/>
    </row>
    <row r="83" customFormat="false" ht="42" hidden="false" customHeight="true" outlineLevel="0" collapsed="false">
      <c r="A83" s="27" t="s">
        <v>425</v>
      </c>
      <c r="B83" s="11" t="s">
        <v>426</v>
      </c>
      <c r="C83" s="28" t="s">
        <v>427</v>
      </c>
      <c r="D83" s="10" t="s">
        <v>68</v>
      </c>
      <c r="E83" s="10"/>
      <c r="F83" s="10"/>
      <c r="G83" s="28"/>
      <c r="H83" s="28"/>
      <c r="I83" s="28"/>
    </row>
    <row r="84" customFormat="false" ht="42" hidden="false" customHeight="true" outlineLevel="0" collapsed="false">
      <c r="A84" s="25" t="s">
        <v>428</v>
      </c>
      <c r="B84" s="8" t="s">
        <v>429</v>
      </c>
      <c r="C84" s="26" t="s">
        <v>430</v>
      </c>
      <c r="D84" s="7" t="s">
        <v>68</v>
      </c>
      <c r="E84" s="7"/>
      <c r="F84" s="7"/>
      <c r="G84" s="26"/>
      <c r="H84" s="26"/>
      <c r="I84" s="26"/>
    </row>
    <row r="85" customFormat="false" ht="42" hidden="false" customHeight="true" outlineLevel="0" collapsed="false">
      <c r="A85" s="27" t="s">
        <v>431</v>
      </c>
      <c r="B85" s="11" t="s">
        <v>432</v>
      </c>
      <c r="C85" s="28" t="s">
        <v>433</v>
      </c>
      <c r="D85" s="10" t="s">
        <v>68</v>
      </c>
      <c r="E85" s="10"/>
      <c r="F85" s="10"/>
      <c r="G85" s="28"/>
      <c r="H85" s="28"/>
      <c r="I85" s="28"/>
    </row>
    <row r="86" customFormat="false" ht="42" hidden="false" customHeight="true" outlineLevel="0" collapsed="false">
      <c r="A86" s="25" t="s">
        <v>434</v>
      </c>
      <c r="B86" s="8" t="s">
        <v>435</v>
      </c>
      <c r="C86" s="26" t="s">
        <v>436</v>
      </c>
      <c r="D86" s="7" t="s">
        <v>68</v>
      </c>
      <c r="E86" s="7"/>
      <c r="F86" s="7"/>
      <c r="G86" s="26"/>
      <c r="H86" s="26"/>
      <c r="I86" s="26"/>
    </row>
    <row r="87" customFormat="false" ht="42" hidden="false" customHeight="true" outlineLevel="0" collapsed="false">
      <c r="A87" s="27" t="s">
        <v>437</v>
      </c>
      <c r="B87" s="11" t="s">
        <v>438</v>
      </c>
      <c r="C87" s="28" t="s">
        <v>439</v>
      </c>
      <c r="D87" s="10" t="s">
        <v>68</v>
      </c>
      <c r="E87" s="10"/>
      <c r="F87" s="10"/>
      <c r="G87" s="28"/>
      <c r="H87" s="28"/>
      <c r="I87" s="28"/>
    </row>
    <row r="88" customFormat="false" ht="42" hidden="false" customHeight="true" outlineLevel="0" collapsed="false">
      <c r="A88" s="25" t="s">
        <v>440</v>
      </c>
      <c r="B88" s="8" t="s">
        <v>441</v>
      </c>
      <c r="C88" s="26" t="s">
        <v>442</v>
      </c>
      <c r="D88" s="7" t="s">
        <v>68</v>
      </c>
      <c r="E88" s="7"/>
      <c r="F88" s="7"/>
      <c r="G88" s="26"/>
      <c r="H88" s="26"/>
      <c r="I88" s="26"/>
    </row>
    <row r="89" customFormat="false" ht="19.5" hidden="false" customHeight="true" outlineLevel="0" collapsed="false">
      <c r="A89" s="24" t="s">
        <v>443</v>
      </c>
      <c r="B89" s="24"/>
      <c r="C89" s="24"/>
      <c r="D89" s="24"/>
      <c r="E89" s="24"/>
      <c r="F89" s="24"/>
      <c r="G89" s="24"/>
      <c r="H89" s="24"/>
      <c r="I89" s="24"/>
    </row>
    <row r="90" customFormat="false" ht="42" hidden="false" customHeight="true" outlineLevel="0" collapsed="false">
      <c r="A90" s="25" t="s">
        <v>444</v>
      </c>
      <c r="B90" s="8" t="s">
        <v>445</v>
      </c>
      <c r="C90" s="26" t="s">
        <v>446</v>
      </c>
      <c r="D90" s="7" t="s">
        <v>68</v>
      </c>
      <c r="E90" s="7"/>
      <c r="F90" s="7"/>
      <c r="G90" s="26"/>
      <c r="H90" s="26"/>
      <c r="I90" s="26"/>
    </row>
    <row r="91" customFormat="false" ht="42" hidden="false" customHeight="true" outlineLevel="0" collapsed="false">
      <c r="A91" s="27" t="s">
        <v>447</v>
      </c>
      <c r="B91" s="11" t="s">
        <v>448</v>
      </c>
      <c r="C91" s="28" t="s">
        <v>449</v>
      </c>
      <c r="D91" s="10" t="s">
        <v>68</v>
      </c>
      <c r="E91" s="10"/>
      <c r="F91" s="10"/>
      <c r="G91" s="28"/>
      <c r="H91" s="28"/>
      <c r="I91" s="28"/>
    </row>
    <row r="92" customFormat="false" ht="42" hidden="false" customHeight="true" outlineLevel="0" collapsed="false">
      <c r="A92" s="25" t="s">
        <v>450</v>
      </c>
      <c r="B92" s="8" t="s">
        <v>451</v>
      </c>
      <c r="C92" s="26" t="s">
        <v>452</v>
      </c>
      <c r="D92" s="7" t="s">
        <v>68</v>
      </c>
      <c r="E92" s="7"/>
      <c r="F92" s="7"/>
      <c r="G92" s="26"/>
      <c r="H92" s="26"/>
      <c r="I92" s="26"/>
    </row>
    <row r="93" customFormat="false" ht="42" hidden="false" customHeight="true" outlineLevel="0" collapsed="false">
      <c r="A93" s="27" t="s">
        <v>453</v>
      </c>
      <c r="B93" s="11" t="s">
        <v>454</v>
      </c>
      <c r="C93" s="28" t="s">
        <v>455</v>
      </c>
      <c r="D93" s="10" t="s">
        <v>68</v>
      </c>
      <c r="E93" s="10"/>
      <c r="F93" s="10"/>
      <c r="G93" s="28"/>
      <c r="H93" s="28"/>
      <c r="I93" s="28"/>
    </row>
    <row r="94" customFormat="false" ht="42" hidden="false" customHeight="true" outlineLevel="0" collapsed="false">
      <c r="A94" s="25" t="s">
        <v>456</v>
      </c>
      <c r="B94" s="8" t="s">
        <v>457</v>
      </c>
      <c r="C94" s="26" t="s">
        <v>458</v>
      </c>
      <c r="D94" s="7" t="s">
        <v>68</v>
      </c>
      <c r="E94" s="7"/>
      <c r="F94" s="7"/>
      <c r="G94" s="26"/>
      <c r="H94" s="26"/>
      <c r="I94" s="26"/>
    </row>
    <row r="95" customFormat="false" ht="42" hidden="false" customHeight="true" outlineLevel="0" collapsed="false">
      <c r="A95" s="27" t="s">
        <v>459</v>
      </c>
      <c r="B95" s="11" t="s">
        <v>460</v>
      </c>
      <c r="C95" s="28" t="s">
        <v>461</v>
      </c>
      <c r="D95" s="10" t="s">
        <v>68</v>
      </c>
      <c r="E95" s="10"/>
      <c r="F95" s="10"/>
      <c r="G95" s="28"/>
      <c r="H95" s="28"/>
      <c r="I95" s="28"/>
    </row>
    <row r="96" customFormat="false" ht="42" hidden="false" customHeight="true" outlineLevel="0" collapsed="false">
      <c r="A96" s="25" t="s">
        <v>462</v>
      </c>
      <c r="B96" s="8" t="s">
        <v>463</v>
      </c>
      <c r="C96" s="26" t="s">
        <v>464</v>
      </c>
      <c r="D96" s="7" t="s">
        <v>68</v>
      </c>
      <c r="E96" s="7"/>
      <c r="F96" s="7"/>
      <c r="G96" s="26"/>
      <c r="H96" s="26"/>
      <c r="I96" s="26"/>
    </row>
    <row r="97" customFormat="false" ht="42" hidden="false" customHeight="true" outlineLevel="0" collapsed="false">
      <c r="A97" s="27" t="s">
        <v>465</v>
      </c>
      <c r="B97" s="11" t="s">
        <v>466</v>
      </c>
      <c r="C97" s="28" t="s">
        <v>467</v>
      </c>
      <c r="D97" s="10" t="s">
        <v>68</v>
      </c>
      <c r="E97" s="10"/>
      <c r="F97" s="10"/>
      <c r="G97" s="28"/>
      <c r="H97" s="28"/>
      <c r="I97" s="28"/>
    </row>
    <row r="98" customFormat="false" ht="42" hidden="false" customHeight="true" outlineLevel="0" collapsed="false">
      <c r="A98" s="25" t="s">
        <v>468</v>
      </c>
      <c r="B98" s="8" t="s">
        <v>469</v>
      </c>
      <c r="C98" s="26" t="s">
        <v>470</v>
      </c>
      <c r="D98" s="7" t="s">
        <v>68</v>
      </c>
      <c r="E98" s="7"/>
      <c r="F98" s="7"/>
      <c r="G98" s="26"/>
      <c r="H98" s="26"/>
      <c r="I98" s="26"/>
    </row>
    <row r="99" customFormat="false" ht="42" hidden="false" customHeight="true" outlineLevel="0" collapsed="false">
      <c r="A99" s="27" t="s">
        <v>471</v>
      </c>
      <c r="B99" s="11" t="s">
        <v>472</v>
      </c>
      <c r="C99" s="28" t="s">
        <v>473</v>
      </c>
      <c r="D99" s="10" t="s">
        <v>68</v>
      </c>
      <c r="E99" s="10"/>
      <c r="F99" s="10"/>
      <c r="G99" s="28"/>
      <c r="H99" s="28"/>
      <c r="I99" s="28"/>
    </row>
    <row r="100" customFormat="false" ht="42" hidden="false" customHeight="true" outlineLevel="0" collapsed="false">
      <c r="A100" s="25" t="s">
        <v>474</v>
      </c>
      <c r="B100" s="8" t="s">
        <v>475</v>
      </c>
      <c r="C100" s="26" t="s">
        <v>476</v>
      </c>
      <c r="D100" s="7" t="s">
        <v>68</v>
      </c>
      <c r="E100" s="7"/>
      <c r="F100" s="7"/>
      <c r="G100" s="26"/>
      <c r="H100" s="26"/>
      <c r="I100" s="26"/>
    </row>
    <row r="101" customFormat="false" ht="42" hidden="false" customHeight="true" outlineLevel="0" collapsed="false">
      <c r="A101" s="27" t="s">
        <v>477</v>
      </c>
      <c r="B101" s="11" t="s">
        <v>478</v>
      </c>
      <c r="C101" s="28" t="s">
        <v>479</v>
      </c>
      <c r="D101" s="10" t="s">
        <v>68</v>
      </c>
      <c r="E101" s="10"/>
      <c r="F101" s="10"/>
      <c r="G101" s="28"/>
      <c r="H101" s="28"/>
      <c r="I101" s="28"/>
    </row>
    <row r="102" customFormat="false" ht="42" hidden="false" customHeight="true" outlineLevel="0" collapsed="false">
      <c r="A102" s="25" t="s">
        <v>480</v>
      </c>
      <c r="B102" s="8" t="s">
        <v>481</v>
      </c>
      <c r="C102" s="26" t="s">
        <v>482</v>
      </c>
      <c r="D102" s="7" t="s">
        <v>68</v>
      </c>
      <c r="E102" s="7"/>
      <c r="F102" s="7"/>
      <c r="G102" s="26"/>
      <c r="H102" s="26"/>
      <c r="I102" s="26"/>
    </row>
    <row r="103" customFormat="false" ht="19.5" hidden="false" customHeight="true" outlineLevel="0" collapsed="false">
      <c r="A103" s="24" t="s">
        <v>483</v>
      </c>
      <c r="B103" s="24"/>
      <c r="C103" s="24"/>
      <c r="D103" s="24"/>
      <c r="E103" s="24"/>
      <c r="F103" s="24"/>
      <c r="G103" s="24"/>
      <c r="H103" s="24"/>
      <c r="I103" s="24"/>
    </row>
    <row r="104" customFormat="false" ht="42" hidden="false" customHeight="true" outlineLevel="0" collapsed="false">
      <c r="A104" s="25" t="s">
        <v>484</v>
      </c>
      <c r="B104" s="8" t="s">
        <v>485</v>
      </c>
      <c r="C104" s="26" t="s">
        <v>486</v>
      </c>
      <c r="D104" s="7" t="s">
        <v>68</v>
      </c>
      <c r="E104" s="7"/>
      <c r="F104" s="7"/>
      <c r="G104" s="26"/>
      <c r="H104" s="26"/>
      <c r="I104" s="26"/>
    </row>
    <row r="105" customFormat="false" ht="42" hidden="false" customHeight="true" outlineLevel="0" collapsed="false">
      <c r="A105" s="27" t="s">
        <v>487</v>
      </c>
      <c r="B105" s="11" t="s">
        <v>488</v>
      </c>
      <c r="C105" s="28" t="s">
        <v>489</v>
      </c>
      <c r="D105" s="10" t="s">
        <v>68</v>
      </c>
      <c r="E105" s="10"/>
      <c r="F105" s="10"/>
      <c r="G105" s="28"/>
      <c r="H105" s="28"/>
      <c r="I105" s="28"/>
    </row>
    <row r="106" customFormat="false" ht="42" hidden="false" customHeight="true" outlineLevel="0" collapsed="false">
      <c r="A106" s="25" t="s">
        <v>490</v>
      </c>
      <c r="B106" s="8" t="s">
        <v>491</v>
      </c>
      <c r="C106" s="26" t="s">
        <v>492</v>
      </c>
      <c r="D106" s="7" t="s">
        <v>68</v>
      </c>
      <c r="E106" s="7"/>
      <c r="F106" s="7"/>
      <c r="G106" s="26"/>
      <c r="H106" s="26"/>
      <c r="I106" s="26"/>
    </row>
    <row r="107" customFormat="false" ht="42" hidden="false" customHeight="true" outlineLevel="0" collapsed="false">
      <c r="A107" s="27" t="s">
        <v>493</v>
      </c>
      <c r="B107" s="11" t="s">
        <v>494</v>
      </c>
      <c r="C107" s="28" t="s">
        <v>495</v>
      </c>
      <c r="D107" s="10" t="s">
        <v>68</v>
      </c>
      <c r="E107" s="10"/>
      <c r="F107" s="10"/>
      <c r="G107" s="28"/>
      <c r="H107" s="28"/>
      <c r="I107" s="28"/>
    </row>
    <row r="108" customFormat="false" ht="42" hidden="false" customHeight="true" outlineLevel="0" collapsed="false">
      <c r="A108" s="25" t="s">
        <v>496</v>
      </c>
      <c r="B108" s="8" t="s">
        <v>497</v>
      </c>
      <c r="C108" s="26" t="s">
        <v>498</v>
      </c>
      <c r="D108" s="7" t="s">
        <v>68</v>
      </c>
      <c r="E108" s="7"/>
      <c r="F108" s="7"/>
      <c r="G108" s="26"/>
      <c r="H108" s="26"/>
      <c r="I108" s="26"/>
    </row>
    <row r="109" customFormat="false" ht="19.5" hidden="false" customHeight="true" outlineLevel="0" collapsed="false">
      <c r="A109" s="24" t="s">
        <v>499</v>
      </c>
      <c r="B109" s="24"/>
      <c r="C109" s="24"/>
      <c r="D109" s="24"/>
      <c r="E109" s="24"/>
      <c r="F109" s="24"/>
      <c r="G109" s="24"/>
      <c r="H109" s="24"/>
      <c r="I109" s="24"/>
    </row>
    <row r="110" customFormat="false" ht="42" hidden="false" customHeight="true" outlineLevel="0" collapsed="false">
      <c r="A110" s="25" t="s">
        <v>500</v>
      </c>
      <c r="B110" s="8" t="s">
        <v>501</v>
      </c>
      <c r="C110" s="26" t="s">
        <v>502</v>
      </c>
      <c r="D110" s="7" t="s">
        <v>68</v>
      </c>
      <c r="E110" s="7"/>
      <c r="F110" s="7"/>
      <c r="G110" s="26"/>
      <c r="H110" s="26"/>
      <c r="I110" s="26"/>
    </row>
    <row r="111" customFormat="false" ht="42" hidden="false" customHeight="true" outlineLevel="0" collapsed="false">
      <c r="A111" s="27" t="s">
        <v>503</v>
      </c>
      <c r="B111" s="11" t="s">
        <v>504</v>
      </c>
      <c r="C111" s="28" t="s">
        <v>505</v>
      </c>
      <c r="D111" s="10" t="s">
        <v>68</v>
      </c>
      <c r="E111" s="10"/>
      <c r="F111" s="10"/>
      <c r="G111" s="28"/>
      <c r="H111" s="28"/>
      <c r="I111" s="28"/>
    </row>
    <row r="112" customFormat="false" ht="42" hidden="false" customHeight="true" outlineLevel="0" collapsed="false">
      <c r="A112" s="25" t="s">
        <v>506</v>
      </c>
      <c r="B112" s="8" t="s">
        <v>507</v>
      </c>
      <c r="C112" s="26" t="s">
        <v>508</v>
      </c>
      <c r="D112" s="7" t="s">
        <v>68</v>
      </c>
      <c r="E112" s="7"/>
      <c r="F112" s="7"/>
      <c r="G112" s="26"/>
      <c r="H112" s="26"/>
      <c r="I112" s="26"/>
    </row>
    <row r="113" customFormat="false" ht="42" hidden="false" customHeight="true" outlineLevel="0" collapsed="false">
      <c r="A113" s="27" t="s">
        <v>509</v>
      </c>
      <c r="B113" s="11" t="s">
        <v>510</v>
      </c>
      <c r="C113" s="28" t="s">
        <v>511</v>
      </c>
      <c r="D113" s="10" t="s">
        <v>68</v>
      </c>
      <c r="E113" s="10"/>
      <c r="F113" s="10"/>
      <c r="G113" s="28"/>
      <c r="H113" s="28"/>
      <c r="I113" s="28"/>
    </row>
    <row r="114" customFormat="false" ht="42" hidden="false" customHeight="true" outlineLevel="0" collapsed="false">
      <c r="A114" s="25" t="s">
        <v>512</v>
      </c>
      <c r="B114" s="8" t="s">
        <v>513</v>
      </c>
      <c r="C114" s="26" t="s">
        <v>514</v>
      </c>
      <c r="D114" s="7" t="s">
        <v>68</v>
      </c>
      <c r="E114" s="7"/>
      <c r="F114" s="7"/>
      <c r="G114" s="26"/>
      <c r="H114" s="26"/>
      <c r="I114" s="26"/>
    </row>
    <row r="115" customFormat="false" ht="42" hidden="false" customHeight="true" outlineLevel="0" collapsed="false">
      <c r="A115" s="27" t="s">
        <v>515</v>
      </c>
      <c r="B115" s="11" t="s">
        <v>516</v>
      </c>
      <c r="C115" s="28" t="s">
        <v>517</v>
      </c>
      <c r="D115" s="10" t="s">
        <v>68</v>
      </c>
      <c r="E115" s="10"/>
      <c r="F115" s="10"/>
      <c r="G115" s="28"/>
      <c r="H115" s="28"/>
      <c r="I115" s="28"/>
    </row>
    <row r="116" customFormat="false" ht="42" hidden="false" customHeight="true" outlineLevel="0" collapsed="false">
      <c r="A116" s="25" t="s">
        <v>518</v>
      </c>
      <c r="B116" s="8" t="s">
        <v>519</v>
      </c>
      <c r="C116" s="26" t="s">
        <v>520</v>
      </c>
      <c r="D116" s="7" t="s">
        <v>68</v>
      </c>
      <c r="E116" s="7"/>
      <c r="F116" s="7"/>
      <c r="G116" s="26"/>
      <c r="H116" s="26"/>
      <c r="I116" s="26"/>
    </row>
    <row r="117" customFormat="false" ht="19.5" hidden="false" customHeight="true" outlineLevel="0" collapsed="false">
      <c r="A117" s="24" t="s">
        <v>521</v>
      </c>
      <c r="B117" s="24"/>
      <c r="C117" s="24"/>
      <c r="D117" s="24"/>
      <c r="E117" s="24"/>
      <c r="F117" s="24"/>
      <c r="G117" s="24"/>
      <c r="H117" s="24"/>
      <c r="I117" s="24"/>
    </row>
    <row r="118" customFormat="false" ht="42" hidden="false" customHeight="true" outlineLevel="0" collapsed="false">
      <c r="A118" s="25" t="s">
        <v>522</v>
      </c>
      <c r="B118" s="8" t="s">
        <v>523</v>
      </c>
      <c r="C118" s="26" t="s">
        <v>524</v>
      </c>
      <c r="D118" s="7" t="s">
        <v>68</v>
      </c>
      <c r="E118" s="7"/>
      <c r="F118" s="7"/>
      <c r="G118" s="26"/>
      <c r="H118" s="26"/>
      <c r="I118" s="26"/>
    </row>
    <row r="119" customFormat="false" ht="42" hidden="false" customHeight="true" outlineLevel="0" collapsed="false">
      <c r="A119" s="27" t="s">
        <v>525</v>
      </c>
      <c r="B119" s="11" t="s">
        <v>526</v>
      </c>
      <c r="C119" s="28" t="s">
        <v>527</v>
      </c>
      <c r="D119" s="10" t="s">
        <v>68</v>
      </c>
      <c r="E119" s="10"/>
      <c r="F119" s="10"/>
      <c r="G119" s="28"/>
      <c r="H119" s="28"/>
      <c r="I119" s="28"/>
    </row>
    <row r="120" customFormat="false" ht="42" hidden="false" customHeight="true" outlineLevel="0" collapsed="false">
      <c r="A120" s="25" t="s">
        <v>528</v>
      </c>
      <c r="B120" s="8" t="s">
        <v>529</v>
      </c>
      <c r="C120" s="26" t="s">
        <v>530</v>
      </c>
      <c r="D120" s="7" t="s">
        <v>68</v>
      </c>
      <c r="E120" s="7"/>
      <c r="F120" s="7"/>
      <c r="G120" s="26"/>
      <c r="H120" s="26"/>
      <c r="I120" s="26"/>
    </row>
    <row r="121" customFormat="false" ht="42" hidden="false" customHeight="true" outlineLevel="0" collapsed="false">
      <c r="A121" s="27" t="s">
        <v>531</v>
      </c>
      <c r="B121" s="11" t="s">
        <v>532</v>
      </c>
      <c r="C121" s="28" t="s">
        <v>533</v>
      </c>
      <c r="D121" s="10" t="s">
        <v>68</v>
      </c>
      <c r="E121" s="10"/>
      <c r="F121" s="10"/>
      <c r="G121" s="28"/>
      <c r="H121" s="28"/>
      <c r="I121" s="28"/>
    </row>
    <row r="122" customFormat="false" ht="19.5" hidden="false" customHeight="true" outlineLevel="0" collapsed="false">
      <c r="A122" s="24" t="s">
        <v>534</v>
      </c>
      <c r="B122" s="24"/>
      <c r="C122" s="24"/>
      <c r="D122" s="24"/>
      <c r="E122" s="24"/>
      <c r="F122" s="24"/>
      <c r="G122" s="24"/>
      <c r="H122" s="24"/>
      <c r="I122" s="24"/>
    </row>
    <row r="123" customFormat="false" ht="42" hidden="false" customHeight="true" outlineLevel="0" collapsed="false">
      <c r="A123" s="27" t="s">
        <v>535</v>
      </c>
      <c r="B123" s="11" t="s">
        <v>536</v>
      </c>
      <c r="C123" s="28" t="s">
        <v>537</v>
      </c>
      <c r="D123" s="10" t="s">
        <v>68</v>
      </c>
      <c r="E123" s="10"/>
      <c r="F123" s="10"/>
      <c r="G123" s="28"/>
      <c r="H123" s="28"/>
      <c r="I123" s="28"/>
    </row>
    <row r="124" customFormat="false" ht="42" hidden="false" customHeight="true" outlineLevel="0" collapsed="false">
      <c r="A124" s="25" t="s">
        <v>538</v>
      </c>
      <c r="B124" s="8" t="s">
        <v>539</v>
      </c>
      <c r="C124" s="26" t="s">
        <v>540</v>
      </c>
      <c r="D124" s="7" t="s">
        <v>68</v>
      </c>
      <c r="E124" s="7"/>
      <c r="F124" s="7"/>
      <c r="G124" s="26"/>
      <c r="H124" s="26"/>
      <c r="I124" s="26"/>
    </row>
    <row r="125" customFormat="false" ht="42" hidden="false" customHeight="true" outlineLevel="0" collapsed="false">
      <c r="A125" s="27" t="s">
        <v>541</v>
      </c>
      <c r="B125" s="11" t="s">
        <v>542</v>
      </c>
      <c r="C125" s="28" t="s">
        <v>543</v>
      </c>
      <c r="D125" s="10" t="s">
        <v>68</v>
      </c>
      <c r="E125" s="10"/>
      <c r="F125" s="10"/>
      <c r="G125" s="28"/>
      <c r="H125" s="28"/>
      <c r="I125" s="28"/>
    </row>
    <row r="126" customFormat="false" ht="42" hidden="false" customHeight="true" outlineLevel="0" collapsed="false">
      <c r="A126" s="25" t="s">
        <v>544</v>
      </c>
      <c r="B126" s="8" t="s">
        <v>545</v>
      </c>
      <c r="C126" s="26" t="s">
        <v>546</v>
      </c>
      <c r="D126" s="7" t="s">
        <v>68</v>
      </c>
      <c r="E126" s="7"/>
      <c r="F126" s="7"/>
      <c r="G126" s="26"/>
      <c r="H126" s="26"/>
      <c r="I126" s="26"/>
    </row>
    <row r="127" customFormat="false" ht="42" hidden="false" customHeight="true" outlineLevel="0" collapsed="false">
      <c r="A127" s="27" t="s">
        <v>547</v>
      </c>
      <c r="B127" s="11" t="s">
        <v>548</v>
      </c>
      <c r="C127" s="28" t="s">
        <v>549</v>
      </c>
      <c r="D127" s="10" t="s">
        <v>68</v>
      </c>
      <c r="E127" s="10"/>
      <c r="F127" s="10"/>
      <c r="G127" s="28"/>
      <c r="H127" s="28"/>
      <c r="I127" s="28"/>
    </row>
    <row r="128" customFormat="false" ht="42" hidden="false" customHeight="true" outlineLevel="0" collapsed="false">
      <c r="A128" s="25" t="s">
        <v>550</v>
      </c>
      <c r="B128" s="8" t="s">
        <v>551</v>
      </c>
      <c r="C128" s="26" t="s">
        <v>552</v>
      </c>
      <c r="D128" s="7" t="s">
        <v>68</v>
      </c>
      <c r="E128" s="7"/>
      <c r="F128" s="7"/>
      <c r="G128" s="26"/>
      <c r="H128" s="26"/>
      <c r="I128" s="26"/>
    </row>
    <row r="129" customFormat="false" ht="42" hidden="false" customHeight="true" outlineLevel="0" collapsed="false">
      <c r="A129" s="27" t="s">
        <v>553</v>
      </c>
      <c r="B129" s="11" t="s">
        <v>554</v>
      </c>
      <c r="C129" s="28" t="s">
        <v>555</v>
      </c>
      <c r="D129" s="10" t="s">
        <v>68</v>
      </c>
      <c r="E129" s="10"/>
      <c r="F129" s="10"/>
      <c r="G129" s="28"/>
      <c r="H129" s="28"/>
      <c r="I129" s="28"/>
    </row>
    <row r="130" customFormat="false" ht="42" hidden="false" customHeight="true" outlineLevel="0" collapsed="false">
      <c r="A130" s="25" t="s">
        <v>556</v>
      </c>
      <c r="B130" s="8" t="s">
        <v>557</v>
      </c>
      <c r="C130" s="26" t="s">
        <v>558</v>
      </c>
      <c r="D130" s="7" t="s">
        <v>68</v>
      </c>
      <c r="E130" s="7"/>
      <c r="F130" s="7"/>
      <c r="G130" s="26"/>
      <c r="H130" s="26"/>
      <c r="I130" s="26"/>
    </row>
  </sheetData>
  <mergeCells count="15">
    <mergeCell ref="A1:I1"/>
    <mergeCell ref="A3:I3"/>
    <mergeCell ref="A6:I6"/>
    <mergeCell ref="A14:I14"/>
    <mergeCell ref="A21:I21"/>
    <mergeCell ref="A32:I32"/>
    <mergeCell ref="A47:I47"/>
    <mergeCell ref="A50:I50"/>
    <mergeCell ref="A66:I66"/>
    <mergeCell ref="A81:I81"/>
    <mergeCell ref="A89:I89"/>
    <mergeCell ref="A103:I103"/>
    <mergeCell ref="A109:I109"/>
    <mergeCell ref="A117:I117"/>
    <mergeCell ref="A122:I122"/>
  </mergeCells>
  <dataValidations count="1">
    <dataValidation allowBlank="true" errorStyle="stop" operator="between" showDropDown="false" showErrorMessage="false" showInputMessage="false" sqref="D4:D5 D7:D13 D15:D20 D22:D31 D33:D46 D48:D49 D51:D65 D67:D80 D82:D88 D90:D102 D104:D108 D110:D116 D118:D121 D123:D130" type="list">
      <formula1>"Not Assessed,Compliant,Partial,Non-Compliant,N/A"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2"/>
  </cols>
  <sheetData>
    <row r="1" customFormat="false" ht="27.75" hidden="false" customHeight="true" outlineLevel="0" collapsed="false">
      <c r="A1" s="23" t="s">
        <v>559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39.75" hidden="false" customHeight="true" outlineLevel="0" collapsed="false">
      <c r="A2" s="6" t="s">
        <v>560</v>
      </c>
      <c r="B2" s="6" t="s">
        <v>561</v>
      </c>
      <c r="C2" s="6" t="s">
        <v>562</v>
      </c>
      <c r="D2" s="6" t="s">
        <v>563</v>
      </c>
      <c r="E2" s="6" t="s">
        <v>564</v>
      </c>
      <c r="F2" s="6" t="s">
        <v>565</v>
      </c>
      <c r="G2" s="6" t="s">
        <v>566</v>
      </c>
      <c r="H2" s="6" t="s">
        <v>567</v>
      </c>
      <c r="I2" s="6" t="s">
        <v>568</v>
      </c>
      <c r="J2" s="6" t="s">
        <v>569</v>
      </c>
      <c r="K2" s="6" t="s">
        <v>570</v>
      </c>
      <c r="L2" s="6" t="s">
        <v>571</v>
      </c>
    </row>
    <row r="3" customFormat="false" ht="36" hidden="false" customHeight="true" outlineLevel="0" collapsed="false">
      <c r="A3" s="27" t="s">
        <v>572</v>
      </c>
      <c r="B3" s="11" t="s">
        <v>573</v>
      </c>
      <c r="C3" s="28" t="s">
        <v>574</v>
      </c>
      <c r="D3" s="28" t="s">
        <v>575</v>
      </c>
      <c r="E3" s="10" t="n">
        <v>3</v>
      </c>
      <c r="F3" s="10" t="n">
        <v>5</v>
      </c>
      <c r="G3" s="10" t="n">
        <f aca="false">E3*F3</f>
        <v>15</v>
      </c>
      <c r="H3" s="28" t="s">
        <v>576</v>
      </c>
      <c r="I3" s="10" t="n">
        <v>2</v>
      </c>
      <c r="J3" s="10" t="n">
        <v>5</v>
      </c>
      <c r="K3" s="10" t="n">
        <f aca="false">I3*J3</f>
        <v>10</v>
      </c>
      <c r="L3" s="28" t="s">
        <v>577</v>
      </c>
    </row>
    <row r="4" customFormat="false" ht="36" hidden="false" customHeight="true" outlineLevel="0" collapsed="false">
      <c r="A4" s="25" t="s">
        <v>578</v>
      </c>
      <c r="B4" s="8" t="s">
        <v>579</v>
      </c>
      <c r="C4" s="26" t="s">
        <v>580</v>
      </c>
      <c r="D4" s="26" t="s">
        <v>581</v>
      </c>
      <c r="E4" s="7" t="n">
        <v>4</v>
      </c>
      <c r="F4" s="7" t="n">
        <v>4</v>
      </c>
      <c r="G4" s="7" t="n">
        <f aca="false">E4*F4</f>
        <v>16</v>
      </c>
      <c r="H4" s="26" t="s">
        <v>582</v>
      </c>
      <c r="I4" s="7" t="n">
        <v>2</v>
      </c>
      <c r="J4" s="7" t="n">
        <v>3</v>
      </c>
      <c r="K4" s="7" t="n">
        <f aca="false">I4*J4</f>
        <v>6</v>
      </c>
      <c r="L4" s="26" t="s">
        <v>577</v>
      </c>
    </row>
    <row r="5" customFormat="false" ht="36" hidden="false" customHeight="true" outlineLevel="0" collapsed="false">
      <c r="A5" s="27" t="s">
        <v>583</v>
      </c>
      <c r="B5" s="11" t="s">
        <v>584</v>
      </c>
      <c r="C5" s="28" t="s">
        <v>585</v>
      </c>
      <c r="D5" s="28" t="s">
        <v>586</v>
      </c>
      <c r="E5" s="10" t="n">
        <v>4</v>
      </c>
      <c r="F5" s="10" t="n">
        <v>4</v>
      </c>
      <c r="G5" s="10" t="n">
        <f aca="false">E5*F5</f>
        <v>16</v>
      </c>
      <c r="H5" s="28" t="s">
        <v>587</v>
      </c>
      <c r="I5" s="10" t="n">
        <v>2</v>
      </c>
      <c r="J5" s="10" t="n">
        <v>4</v>
      </c>
      <c r="K5" s="10" t="n">
        <f aca="false">I5*J5</f>
        <v>8</v>
      </c>
      <c r="L5" s="28" t="s">
        <v>577</v>
      </c>
    </row>
    <row r="6" customFormat="false" ht="36" hidden="false" customHeight="true" outlineLevel="0" collapsed="false">
      <c r="A6" s="25" t="s">
        <v>588</v>
      </c>
      <c r="B6" s="8" t="s">
        <v>589</v>
      </c>
      <c r="C6" s="26" t="s">
        <v>590</v>
      </c>
      <c r="D6" s="26" t="s">
        <v>591</v>
      </c>
      <c r="E6" s="7" t="n">
        <v>2</v>
      </c>
      <c r="F6" s="7" t="n">
        <v>5</v>
      </c>
      <c r="G6" s="7" t="n">
        <f aca="false">E6*F6</f>
        <v>10</v>
      </c>
      <c r="H6" s="26" t="s">
        <v>592</v>
      </c>
      <c r="I6" s="7" t="n">
        <v>1</v>
      </c>
      <c r="J6" s="7" t="n">
        <v>5</v>
      </c>
      <c r="K6" s="7" t="n">
        <f aca="false">I6*J6</f>
        <v>5</v>
      </c>
      <c r="L6" s="26" t="s">
        <v>577</v>
      </c>
    </row>
    <row r="7" customFormat="false" ht="36" hidden="false" customHeight="true" outlineLevel="0" collapsed="false">
      <c r="A7" s="27" t="s">
        <v>593</v>
      </c>
      <c r="B7" s="11" t="s">
        <v>594</v>
      </c>
      <c r="C7" s="28" t="s">
        <v>595</v>
      </c>
      <c r="D7" s="28" t="s">
        <v>596</v>
      </c>
      <c r="E7" s="10" t="n">
        <v>3</v>
      </c>
      <c r="F7" s="10" t="n">
        <v>4</v>
      </c>
      <c r="G7" s="10" t="n">
        <f aca="false">E7*F7</f>
        <v>12</v>
      </c>
      <c r="H7" s="28" t="s">
        <v>597</v>
      </c>
      <c r="I7" s="10" t="n">
        <v>2</v>
      </c>
      <c r="J7" s="10" t="n">
        <v>3</v>
      </c>
      <c r="K7" s="10" t="n">
        <f aca="false">I7*J7</f>
        <v>6</v>
      </c>
      <c r="L7" s="28" t="s">
        <v>577</v>
      </c>
    </row>
    <row r="8" customFormat="false" ht="36" hidden="false" customHeight="true" outlineLevel="0" collapsed="false">
      <c r="A8" s="25" t="s">
        <v>598</v>
      </c>
      <c r="B8" s="8" t="s">
        <v>599</v>
      </c>
      <c r="C8" s="26" t="s">
        <v>600</v>
      </c>
      <c r="D8" s="26" t="s">
        <v>601</v>
      </c>
      <c r="E8" s="7" t="n">
        <v>2</v>
      </c>
      <c r="F8" s="7" t="n">
        <v>4</v>
      </c>
      <c r="G8" s="7" t="n">
        <f aca="false">E8*F8</f>
        <v>8</v>
      </c>
      <c r="H8" s="26" t="s">
        <v>602</v>
      </c>
      <c r="I8" s="7" t="n">
        <v>2</v>
      </c>
      <c r="J8" s="7" t="n">
        <v>3</v>
      </c>
      <c r="K8" s="7" t="n">
        <f aca="false">I8*J8</f>
        <v>6</v>
      </c>
      <c r="L8" s="26" t="s">
        <v>577</v>
      </c>
    </row>
    <row r="9" customFormat="false" ht="36" hidden="false" customHeight="true" outlineLevel="0" collapsed="false">
      <c r="A9" s="27" t="s">
        <v>603</v>
      </c>
      <c r="B9" s="11" t="s">
        <v>604</v>
      </c>
      <c r="C9" s="28" t="s">
        <v>605</v>
      </c>
      <c r="D9" s="28" t="s">
        <v>606</v>
      </c>
      <c r="E9" s="10" t="n">
        <v>3</v>
      </c>
      <c r="F9" s="10" t="n">
        <v>5</v>
      </c>
      <c r="G9" s="10" t="n">
        <f aca="false">E9*F9</f>
        <v>15</v>
      </c>
      <c r="H9" s="28" t="s">
        <v>607</v>
      </c>
      <c r="I9" s="10" t="n">
        <v>1</v>
      </c>
      <c r="J9" s="10" t="n">
        <v>5</v>
      </c>
      <c r="K9" s="10" t="n">
        <f aca="false">I9*J9</f>
        <v>5</v>
      </c>
      <c r="L9" s="28" t="s">
        <v>577</v>
      </c>
    </row>
    <row r="12" customFormat="false" ht="15" hidden="false" customHeight="true" outlineLevel="0" collapsed="false">
      <c r="A12" s="29" t="s">
        <v>608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</sheetData>
  <mergeCells count="2">
    <mergeCell ref="A1:L1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6" min="5" style="0" width="20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23" t="s">
        <v>609</v>
      </c>
      <c r="B1" s="23"/>
      <c r="C1" s="23"/>
      <c r="D1" s="23"/>
      <c r="E1" s="23"/>
      <c r="F1" s="23"/>
      <c r="G1" s="23"/>
      <c r="H1" s="23"/>
    </row>
    <row r="2" customFormat="false" ht="39.75" hidden="false" customHeight="true" outlineLevel="0" collapsed="false">
      <c r="A2" s="6" t="s">
        <v>610</v>
      </c>
      <c r="B2" s="6" t="s">
        <v>611</v>
      </c>
      <c r="C2" s="6" t="s">
        <v>612</v>
      </c>
      <c r="D2" s="6" t="s">
        <v>613</v>
      </c>
      <c r="E2" s="6" t="s">
        <v>614</v>
      </c>
      <c r="F2" s="6" t="s">
        <v>615</v>
      </c>
      <c r="G2" s="6" t="s">
        <v>77</v>
      </c>
      <c r="H2" s="6" t="s">
        <v>616</v>
      </c>
    </row>
    <row r="3" customFormat="false" ht="36" hidden="false" customHeight="true" outlineLevel="0" collapsed="false">
      <c r="A3" s="27" t="s">
        <v>206</v>
      </c>
      <c r="B3" s="11" t="s">
        <v>207</v>
      </c>
      <c r="C3" s="10" t="s">
        <v>617</v>
      </c>
      <c r="D3" s="28" t="s">
        <v>618</v>
      </c>
      <c r="E3" s="10" t="s">
        <v>619</v>
      </c>
      <c r="F3" s="28"/>
      <c r="G3" s="28"/>
      <c r="H3" s="28"/>
    </row>
    <row r="4" customFormat="false" ht="36" hidden="false" customHeight="true" outlineLevel="0" collapsed="false">
      <c r="A4" s="25" t="s">
        <v>209</v>
      </c>
      <c r="B4" s="8" t="s">
        <v>620</v>
      </c>
      <c r="C4" s="7" t="s">
        <v>617</v>
      </c>
      <c r="D4" s="26" t="s">
        <v>621</v>
      </c>
      <c r="E4" s="7" t="s">
        <v>619</v>
      </c>
      <c r="F4" s="26"/>
      <c r="G4" s="26"/>
      <c r="H4" s="26"/>
    </row>
    <row r="5" customFormat="false" ht="36" hidden="false" customHeight="true" outlineLevel="0" collapsed="false">
      <c r="A5" s="27" t="s">
        <v>213</v>
      </c>
      <c r="B5" s="11" t="s">
        <v>622</v>
      </c>
      <c r="C5" s="10" t="s">
        <v>617</v>
      </c>
      <c r="D5" s="28" t="s">
        <v>623</v>
      </c>
      <c r="E5" s="10" t="s">
        <v>619</v>
      </c>
      <c r="F5" s="28"/>
      <c r="G5" s="28"/>
      <c r="H5" s="28"/>
    </row>
    <row r="6" customFormat="false" ht="36" hidden="false" customHeight="true" outlineLevel="0" collapsed="false">
      <c r="A6" s="25" t="s">
        <v>216</v>
      </c>
      <c r="B6" s="8" t="s">
        <v>217</v>
      </c>
      <c r="C6" s="7" t="s">
        <v>617</v>
      </c>
      <c r="D6" s="26" t="s">
        <v>624</v>
      </c>
      <c r="E6" s="7" t="s">
        <v>619</v>
      </c>
      <c r="F6" s="26"/>
      <c r="G6" s="26"/>
      <c r="H6" s="26"/>
    </row>
    <row r="7" customFormat="false" ht="36" hidden="false" customHeight="true" outlineLevel="0" collapsed="false">
      <c r="A7" s="27" t="s">
        <v>219</v>
      </c>
      <c r="B7" s="11" t="s">
        <v>220</v>
      </c>
      <c r="C7" s="10" t="s">
        <v>617</v>
      </c>
      <c r="D7" s="28" t="s">
        <v>625</v>
      </c>
      <c r="E7" s="10" t="s">
        <v>619</v>
      </c>
      <c r="F7" s="28"/>
      <c r="G7" s="28"/>
      <c r="H7" s="28"/>
    </row>
    <row r="8" customFormat="false" ht="36" hidden="false" customHeight="true" outlineLevel="0" collapsed="false">
      <c r="A8" s="25" t="s">
        <v>222</v>
      </c>
      <c r="B8" s="8" t="s">
        <v>223</v>
      </c>
      <c r="C8" s="7" t="s">
        <v>617</v>
      </c>
      <c r="D8" s="26" t="s">
        <v>626</v>
      </c>
      <c r="E8" s="7" t="s">
        <v>619</v>
      </c>
      <c r="F8" s="26"/>
      <c r="G8" s="26"/>
      <c r="H8" s="26"/>
    </row>
    <row r="9" customFormat="false" ht="36" hidden="false" customHeight="true" outlineLevel="0" collapsed="false">
      <c r="A9" s="27" t="s">
        <v>225</v>
      </c>
      <c r="B9" s="11" t="s">
        <v>627</v>
      </c>
      <c r="C9" s="10" t="s">
        <v>617</v>
      </c>
      <c r="D9" s="28" t="s">
        <v>628</v>
      </c>
      <c r="E9" s="10" t="s">
        <v>619</v>
      </c>
      <c r="F9" s="28"/>
      <c r="G9" s="28"/>
      <c r="H9" s="28"/>
    </row>
    <row r="10" customFormat="false" ht="36" hidden="false" customHeight="true" outlineLevel="0" collapsed="false">
      <c r="A10" s="25" t="s">
        <v>228</v>
      </c>
      <c r="B10" s="8" t="s">
        <v>229</v>
      </c>
      <c r="C10" s="7" t="s">
        <v>617</v>
      </c>
      <c r="D10" s="26" t="s">
        <v>629</v>
      </c>
      <c r="E10" s="7" t="s">
        <v>619</v>
      </c>
      <c r="F10" s="26"/>
      <c r="G10" s="26"/>
      <c r="H10" s="26"/>
    </row>
    <row r="11" customFormat="false" ht="36" hidden="false" customHeight="true" outlineLevel="0" collapsed="false">
      <c r="A11" s="27" t="s">
        <v>231</v>
      </c>
      <c r="B11" s="11" t="s">
        <v>232</v>
      </c>
      <c r="C11" s="10" t="s">
        <v>617</v>
      </c>
      <c r="D11" s="28" t="s">
        <v>630</v>
      </c>
      <c r="E11" s="10" t="s">
        <v>619</v>
      </c>
      <c r="F11" s="28"/>
      <c r="G11" s="28"/>
      <c r="H11" s="28"/>
    </row>
    <row r="12" customFormat="false" ht="36" hidden="false" customHeight="true" outlineLevel="0" collapsed="false">
      <c r="A12" s="25" t="s">
        <v>235</v>
      </c>
      <c r="B12" s="8" t="s">
        <v>631</v>
      </c>
      <c r="C12" s="7" t="s">
        <v>617</v>
      </c>
      <c r="D12" s="26" t="s">
        <v>632</v>
      </c>
      <c r="E12" s="7" t="s">
        <v>619</v>
      </c>
      <c r="F12" s="26"/>
      <c r="G12" s="26"/>
      <c r="H12" s="26"/>
    </row>
    <row r="13" customFormat="false" ht="36" hidden="false" customHeight="true" outlineLevel="0" collapsed="false">
      <c r="A13" s="27" t="s">
        <v>238</v>
      </c>
      <c r="B13" s="11" t="s">
        <v>239</v>
      </c>
      <c r="C13" s="10" t="s">
        <v>617</v>
      </c>
      <c r="D13" s="28" t="s">
        <v>633</v>
      </c>
      <c r="E13" s="10" t="s">
        <v>619</v>
      </c>
      <c r="F13" s="28"/>
      <c r="G13" s="28"/>
      <c r="H13" s="28"/>
    </row>
    <row r="14" customFormat="false" ht="36" hidden="false" customHeight="true" outlineLevel="0" collapsed="false">
      <c r="A14" s="25" t="s">
        <v>241</v>
      </c>
      <c r="B14" s="8" t="s">
        <v>634</v>
      </c>
      <c r="C14" s="7" t="s">
        <v>617</v>
      </c>
      <c r="D14" s="26" t="s">
        <v>635</v>
      </c>
      <c r="E14" s="7" t="s">
        <v>619</v>
      </c>
      <c r="F14" s="26"/>
      <c r="G14" s="26"/>
      <c r="H14" s="26"/>
    </row>
    <row r="15" customFormat="false" ht="36" hidden="false" customHeight="true" outlineLevel="0" collapsed="false">
      <c r="A15" s="27" t="s">
        <v>244</v>
      </c>
      <c r="B15" s="11" t="s">
        <v>636</v>
      </c>
      <c r="C15" s="10" t="s">
        <v>617</v>
      </c>
      <c r="D15" s="28" t="s">
        <v>637</v>
      </c>
      <c r="E15" s="10" t="s">
        <v>619</v>
      </c>
      <c r="F15" s="28"/>
      <c r="G15" s="28"/>
      <c r="H15" s="28"/>
    </row>
    <row r="16" customFormat="false" ht="36" hidden="false" customHeight="true" outlineLevel="0" collapsed="false">
      <c r="A16" s="25" t="s">
        <v>247</v>
      </c>
      <c r="B16" s="8" t="s">
        <v>248</v>
      </c>
      <c r="C16" s="7" t="s">
        <v>617</v>
      </c>
      <c r="D16" s="26" t="s">
        <v>638</v>
      </c>
      <c r="E16" s="7" t="s">
        <v>619</v>
      </c>
      <c r="F16" s="26"/>
      <c r="G16" s="26"/>
      <c r="H16" s="26"/>
    </row>
    <row r="17" customFormat="false" ht="36" hidden="false" customHeight="true" outlineLevel="0" collapsed="false">
      <c r="A17" s="27" t="s">
        <v>250</v>
      </c>
      <c r="B17" s="11" t="s">
        <v>251</v>
      </c>
      <c r="C17" s="10" t="s">
        <v>617</v>
      </c>
      <c r="D17" s="28" t="s">
        <v>639</v>
      </c>
      <c r="E17" s="10" t="s">
        <v>619</v>
      </c>
      <c r="F17" s="28"/>
      <c r="G17" s="28"/>
      <c r="H17" s="28"/>
    </row>
    <row r="18" customFormat="false" ht="36" hidden="false" customHeight="true" outlineLevel="0" collapsed="false">
      <c r="A18" s="25" t="s">
        <v>254</v>
      </c>
      <c r="B18" s="8" t="s">
        <v>255</v>
      </c>
      <c r="C18" s="7" t="s">
        <v>617</v>
      </c>
      <c r="D18" s="26" t="s">
        <v>640</v>
      </c>
      <c r="E18" s="7" t="s">
        <v>619</v>
      </c>
      <c r="F18" s="26"/>
      <c r="G18" s="26"/>
      <c r="H18" s="26"/>
    </row>
    <row r="19" customFormat="false" ht="36" hidden="false" customHeight="true" outlineLevel="0" collapsed="false">
      <c r="A19" s="27" t="s">
        <v>257</v>
      </c>
      <c r="B19" s="11" t="s">
        <v>258</v>
      </c>
      <c r="C19" s="10" t="s">
        <v>617</v>
      </c>
      <c r="D19" s="28" t="s">
        <v>641</v>
      </c>
      <c r="E19" s="10" t="s">
        <v>619</v>
      </c>
      <c r="F19" s="28"/>
      <c r="G19" s="28"/>
      <c r="H19" s="28"/>
    </row>
    <row r="20" customFormat="false" ht="36" hidden="false" customHeight="true" outlineLevel="0" collapsed="false">
      <c r="A20" s="25" t="s">
        <v>260</v>
      </c>
      <c r="B20" s="8" t="s">
        <v>261</v>
      </c>
      <c r="C20" s="7" t="s">
        <v>617</v>
      </c>
      <c r="D20" s="26" t="s">
        <v>642</v>
      </c>
      <c r="E20" s="7" t="s">
        <v>619</v>
      </c>
      <c r="F20" s="26"/>
      <c r="G20" s="26"/>
      <c r="H20" s="26"/>
    </row>
    <row r="21" customFormat="false" ht="36" hidden="false" customHeight="true" outlineLevel="0" collapsed="false">
      <c r="A21" s="27" t="s">
        <v>263</v>
      </c>
      <c r="B21" s="11" t="s">
        <v>264</v>
      </c>
      <c r="C21" s="10" t="s">
        <v>617</v>
      </c>
      <c r="D21" s="28" t="s">
        <v>643</v>
      </c>
      <c r="E21" s="10" t="s">
        <v>619</v>
      </c>
      <c r="F21" s="28"/>
      <c r="G21" s="28"/>
      <c r="H21" s="28"/>
    </row>
    <row r="22" customFormat="false" ht="36" hidden="false" customHeight="true" outlineLevel="0" collapsed="false">
      <c r="A22" s="25" t="s">
        <v>266</v>
      </c>
      <c r="B22" s="8" t="s">
        <v>267</v>
      </c>
      <c r="C22" s="7" t="s">
        <v>617</v>
      </c>
      <c r="D22" s="26" t="s">
        <v>644</v>
      </c>
      <c r="E22" s="7" t="s">
        <v>619</v>
      </c>
      <c r="F22" s="26"/>
      <c r="G22" s="26"/>
      <c r="H22" s="26"/>
    </row>
    <row r="23" customFormat="false" ht="36" hidden="false" customHeight="true" outlineLevel="0" collapsed="false">
      <c r="A23" s="27" t="s">
        <v>269</v>
      </c>
      <c r="B23" s="11" t="s">
        <v>270</v>
      </c>
      <c r="C23" s="10" t="s">
        <v>617</v>
      </c>
      <c r="D23" s="28" t="s">
        <v>645</v>
      </c>
      <c r="E23" s="10" t="s">
        <v>619</v>
      </c>
      <c r="F23" s="28"/>
      <c r="G23" s="28"/>
      <c r="H23" s="28"/>
    </row>
    <row r="24" customFormat="false" ht="36" hidden="false" customHeight="true" outlineLevel="0" collapsed="false">
      <c r="A24" s="25" t="s">
        <v>272</v>
      </c>
      <c r="B24" s="8" t="s">
        <v>273</v>
      </c>
      <c r="C24" s="7" t="s">
        <v>617</v>
      </c>
      <c r="D24" s="26" t="s">
        <v>646</v>
      </c>
      <c r="E24" s="7" t="s">
        <v>619</v>
      </c>
      <c r="F24" s="26"/>
      <c r="G24" s="26"/>
      <c r="H24" s="26"/>
    </row>
    <row r="25" customFormat="false" ht="36" hidden="false" customHeight="true" outlineLevel="0" collapsed="false">
      <c r="A25" s="27" t="s">
        <v>275</v>
      </c>
      <c r="B25" s="11" t="s">
        <v>276</v>
      </c>
      <c r="C25" s="10" t="s">
        <v>617</v>
      </c>
      <c r="D25" s="28" t="s">
        <v>647</v>
      </c>
      <c r="E25" s="10" t="s">
        <v>619</v>
      </c>
      <c r="F25" s="28"/>
      <c r="G25" s="28"/>
      <c r="H25" s="28"/>
    </row>
    <row r="26" customFormat="false" ht="36" hidden="false" customHeight="true" outlineLevel="0" collapsed="false">
      <c r="A26" s="25" t="s">
        <v>278</v>
      </c>
      <c r="B26" s="8" t="s">
        <v>279</v>
      </c>
      <c r="C26" s="7" t="s">
        <v>617</v>
      </c>
      <c r="D26" s="26" t="s">
        <v>648</v>
      </c>
      <c r="E26" s="7" t="s">
        <v>619</v>
      </c>
      <c r="F26" s="26"/>
      <c r="G26" s="26"/>
      <c r="H26" s="26"/>
    </row>
    <row r="27" customFormat="false" ht="36" hidden="false" customHeight="true" outlineLevel="0" collapsed="false">
      <c r="A27" s="27" t="s">
        <v>281</v>
      </c>
      <c r="B27" s="11" t="s">
        <v>282</v>
      </c>
      <c r="C27" s="10" t="s">
        <v>617</v>
      </c>
      <c r="D27" s="28" t="s">
        <v>649</v>
      </c>
      <c r="E27" s="10" t="s">
        <v>619</v>
      </c>
      <c r="F27" s="28"/>
      <c r="G27" s="28"/>
      <c r="H27" s="28"/>
    </row>
    <row r="28" customFormat="false" ht="36" hidden="false" customHeight="true" outlineLevel="0" collapsed="false">
      <c r="A28" s="25" t="s">
        <v>285</v>
      </c>
      <c r="B28" s="8" t="s">
        <v>286</v>
      </c>
      <c r="C28" s="7" t="s">
        <v>617</v>
      </c>
      <c r="D28" s="26" t="s">
        <v>650</v>
      </c>
      <c r="E28" s="7" t="s">
        <v>619</v>
      </c>
      <c r="F28" s="26"/>
      <c r="G28" s="26"/>
      <c r="H28" s="26"/>
    </row>
    <row r="29" customFormat="false" ht="36" hidden="false" customHeight="true" outlineLevel="0" collapsed="false">
      <c r="A29" s="27" t="s">
        <v>288</v>
      </c>
      <c r="B29" s="11" t="s">
        <v>651</v>
      </c>
      <c r="C29" s="10" t="s">
        <v>617</v>
      </c>
      <c r="D29" s="28" t="s">
        <v>652</v>
      </c>
      <c r="E29" s="10" t="s">
        <v>619</v>
      </c>
      <c r="F29" s="28"/>
      <c r="G29" s="28"/>
      <c r="H29" s="28"/>
    </row>
    <row r="30" customFormat="false" ht="36" hidden="false" customHeight="true" outlineLevel="0" collapsed="false">
      <c r="A30" s="25" t="s">
        <v>291</v>
      </c>
      <c r="B30" s="8" t="s">
        <v>292</v>
      </c>
      <c r="C30" s="7" t="s">
        <v>617</v>
      </c>
      <c r="D30" s="26" t="s">
        <v>653</v>
      </c>
      <c r="E30" s="7" t="s">
        <v>619</v>
      </c>
      <c r="F30" s="26"/>
      <c r="G30" s="26"/>
      <c r="H30" s="26"/>
    </row>
    <row r="31" customFormat="false" ht="36" hidden="false" customHeight="true" outlineLevel="0" collapsed="false">
      <c r="A31" s="27" t="s">
        <v>294</v>
      </c>
      <c r="B31" s="11" t="s">
        <v>295</v>
      </c>
      <c r="C31" s="10" t="s">
        <v>617</v>
      </c>
      <c r="D31" s="28" t="s">
        <v>654</v>
      </c>
      <c r="E31" s="10" t="s">
        <v>619</v>
      </c>
      <c r="F31" s="28"/>
      <c r="G31" s="28"/>
      <c r="H31" s="28"/>
    </row>
    <row r="32" customFormat="false" ht="36" hidden="false" customHeight="true" outlineLevel="0" collapsed="false">
      <c r="A32" s="25" t="s">
        <v>297</v>
      </c>
      <c r="B32" s="8" t="s">
        <v>655</v>
      </c>
      <c r="C32" s="7" t="s">
        <v>617</v>
      </c>
      <c r="D32" s="26" t="s">
        <v>656</v>
      </c>
      <c r="E32" s="7" t="s">
        <v>619</v>
      </c>
      <c r="F32" s="26"/>
      <c r="G32" s="26"/>
      <c r="H32" s="26"/>
    </row>
    <row r="33" customFormat="false" ht="36" hidden="false" customHeight="true" outlineLevel="0" collapsed="false">
      <c r="A33" s="27" t="s">
        <v>300</v>
      </c>
      <c r="B33" s="11" t="s">
        <v>657</v>
      </c>
      <c r="C33" s="10" t="s">
        <v>617</v>
      </c>
      <c r="D33" s="28" t="s">
        <v>658</v>
      </c>
      <c r="E33" s="10" t="s">
        <v>619</v>
      </c>
      <c r="F33" s="28"/>
      <c r="G33" s="28"/>
      <c r="H33" s="28"/>
    </row>
    <row r="34" customFormat="false" ht="36" hidden="false" customHeight="true" outlineLevel="0" collapsed="false">
      <c r="A34" s="25" t="s">
        <v>303</v>
      </c>
      <c r="B34" s="8" t="s">
        <v>304</v>
      </c>
      <c r="C34" s="7" t="s">
        <v>617</v>
      </c>
      <c r="D34" s="26" t="s">
        <v>659</v>
      </c>
      <c r="E34" s="7" t="s">
        <v>619</v>
      </c>
      <c r="F34" s="26"/>
      <c r="G34" s="26"/>
      <c r="H34" s="26"/>
    </row>
    <row r="35" customFormat="false" ht="36" hidden="false" customHeight="true" outlineLevel="0" collapsed="false">
      <c r="A35" s="27" t="s">
        <v>306</v>
      </c>
      <c r="B35" s="11" t="s">
        <v>660</v>
      </c>
      <c r="C35" s="10" t="s">
        <v>617</v>
      </c>
      <c r="D35" s="28" t="s">
        <v>661</v>
      </c>
      <c r="E35" s="10" t="s">
        <v>619</v>
      </c>
      <c r="F35" s="28"/>
      <c r="G35" s="28"/>
      <c r="H35" s="28"/>
    </row>
    <row r="36" customFormat="false" ht="36" hidden="false" customHeight="true" outlineLevel="0" collapsed="false">
      <c r="A36" s="25" t="s">
        <v>309</v>
      </c>
      <c r="B36" s="8" t="s">
        <v>325</v>
      </c>
      <c r="C36" s="7" t="s">
        <v>617</v>
      </c>
      <c r="D36" s="26" t="s">
        <v>662</v>
      </c>
      <c r="E36" s="7" t="s">
        <v>619</v>
      </c>
      <c r="F36" s="26"/>
      <c r="G36" s="26"/>
      <c r="H36" s="26"/>
    </row>
    <row r="37" customFormat="false" ht="36" hidden="false" customHeight="true" outlineLevel="0" collapsed="false">
      <c r="A37" s="27" t="s">
        <v>312</v>
      </c>
      <c r="B37" s="11" t="s">
        <v>663</v>
      </c>
      <c r="C37" s="10" t="s">
        <v>617</v>
      </c>
      <c r="D37" s="28" t="s">
        <v>664</v>
      </c>
      <c r="E37" s="10" t="s">
        <v>619</v>
      </c>
      <c r="F37" s="28"/>
      <c r="G37" s="28"/>
      <c r="H37" s="28"/>
    </row>
    <row r="38" customFormat="false" ht="36" hidden="false" customHeight="true" outlineLevel="0" collapsed="false">
      <c r="A38" s="25" t="s">
        <v>315</v>
      </c>
      <c r="B38" s="8" t="s">
        <v>316</v>
      </c>
      <c r="C38" s="7" t="s">
        <v>617</v>
      </c>
      <c r="D38" s="26" t="s">
        <v>665</v>
      </c>
      <c r="E38" s="7" t="s">
        <v>619</v>
      </c>
      <c r="F38" s="26"/>
      <c r="G38" s="26"/>
      <c r="H38" s="26"/>
    </row>
    <row r="39" customFormat="false" ht="36" hidden="false" customHeight="true" outlineLevel="0" collapsed="false">
      <c r="A39" s="27" t="s">
        <v>318</v>
      </c>
      <c r="B39" s="11" t="s">
        <v>666</v>
      </c>
      <c r="C39" s="10" t="s">
        <v>617</v>
      </c>
      <c r="D39" s="28" t="s">
        <v>667</v>
      </c>
      <c r="E39" s="10" t="s">
        <v>619</v>
      </c>
      <c r="F39" s="28"/>
      <c r="G39" s="28"/>
      <c r="H39" s="28"/>
    </row>
    <row r="40" customFormat="false" ht="36" hidden="false" customHeight="true" outlineLevel="0" collapsed="false">
      <c r="A40" s="25" t="s">
        <v>321</v>
      </c>
      <c r="B40" s="8" t="s">
        <v>322</v>
      </c>
      <c r="C40" s="7" t="s">
        <v>617</v>
      </c>
      <c r="D40" s="26" t="s">
        <v>668</v>
      </c>
      <c r="E40" s="7" t="s">
        <v>619</v>
      </c>
      <c r="F40" s="26"/>
      <c r="G40" s="26"/>
      <c r="H40" s="26"/>
    </row>
    <row r="41" customFormat="false" ht="36" hidden="false" customHeight="true" outlineLevel="0" collapsed="false">
      <c r="A41" s="27" t="s">
        <v>324</v>
      </c>
      <c r="B41" s="11" t="s">
        <v>325</v>
      </c>
      <c r="C41" s="10" t="s">
        <v>617</v>
      </c>
      <c r="D41" s="28" t="s">
        <v>669</v>
      </c>
      <c r="E41" s="10" t="s">
        <v>619</v>
      </c>
      <c r="F41" s="28"/>
      <c r="G41" s="28"/>
      <c r="H41" s="28"/>
    </row>
    <row r="42" customFormat="false" ht="36" hidden="false" customHeight="true" outlineLevel="0" collapsed="false">
      <c r="A42" s="25" t="s">
        <v>328</v>
      </c>
      <c r="B42" s="8" t="s">
        <v>670</v>
      </c>
      <c r="C42" s="7" t="s">
        <v>617</v>
      </c>
      <c r="D42" s="26" t="s">
        <v>671</v>
      </c>
      <c r="E42" s="7" t="s">
        <v>619</v>
      </c>
      <c r="F42" s="26"/>
      <c r="G42" s="26"/>
      <c r="H42" s="26"/>
    </row>
    <row r="43" customFormat="false" ht="36" hidden="false" customHeight="true" outlineLevel="0" collapsed="false">
      <c r="A43" s="27" t="s">
        <v>331</v>
      </c>
      <c r="B43" s="11" t="s">
        <v>332</v>
      </c>
      <c r="C43" s="10" t="s">
        <v>617</v>
      </c>
      <c r="D43" s="28" t="s">
        <v>672</v>
      </c>
      <c r="E43" s="10" t="s">
        <v>619</v>
      </c>
      <c r="F43" s="28"/>
      <c r="G43" s="28"/>
      <c r="H43" s="28"/>
    </row>
    <row r="44" customFormat="false" ht="36" hidden="false" customHeight="true" outlineLevel="0" collapsed="false">
      <c r="A44" s="25" t="s">
        <v>335</v>
      </c>
      <c r="B44" s="8" t="s">
        <v>336</v>
      </c>
      <c r="C44" s="7" t="s">
        <v>617</v>
      </c>
      <c r="D44" s="26" t="s">
        <v>673</v>
      </c>
      <c r="E44" s="7" t="s">
        <v>619</v>
      </c>
      <c r="F44" s="26"/>
      <c r="G44" s="26"/>
      <c r="H44" s="26"/>
    </row>
    <row r="45" customFormat="false" ht="36" hidden="false" customHeight="true" outlineLevel="0" collapsed="false">
      <c r="A45" s="27" t="s">
        <v>338</v>
      </c>
      <c r="B45" s="11" t="s">
        <v>674</v>
      </c>
      <c r="C45" s="10" t="s">
        <v>617</v>
      </c>
      <c r="D45" s="28" t="s">
        <v>675</v>
      </c>
      <c r="E45" s="10" t="s">
        <v>619</v>
      </c>
      <c r="F45" s="28"/>
      <c r="G45" s="28"/>
      <c r="H45" s="28"/>
    </row>
    <row r="46" customFormat="false" ht="36" hidden="false" customHeight="true" outlineLevel="0" collapsed="false">
      <c r="A46" s="25" t="s">
        <v>341</v>
      </c>
      <c r="B46" s="8" t="s">
        <v>676</v>
      </c>
      <c r="C46" s="7" t="s">
        <v>617</v>
      </c>
      <c r="D46" s="26" t="s">
        <v>677</v>
      </c>
      <c r="E46" s="7" t="s">
        <v>619</v>
      </c>
      <c r="F46" s="26"/>
      <c r="G46" s="26"/>
      <c r="H46" s="26"/>
    </row>
    <row r="47" customFormat="false" ht="36" hidden="false" customHeight="true" outlineLevel="0" collapsed="false">
      <c r="A47" s="27" t="s">
        <v>344</v>
      </c>
      <c r="B47" s="11" t="s">
        <v>345</v>
      </c>
      <c r="C47" s="10" t="s">
        <v>617</v>
      </c>
      <c r="D47" s="28" t="s">
        <v>678</v>
      </c>
      <c r="E47" s="10" t="s">
        <v>619</v>
      </c>
      <c r="F47" s="28"/>
      <c r="G47" s="28"/>
      <c r="H47" s="28"/>
    </row>
    <row r="48" customFormat="false" ht="36" hidden="false" customHeight="true" outlineLevel="0" collapsed="false">
      <c r="A48" s="25" t="s">
        <v>347</v>
      </c>
      <c r="B48" s="8" t="s">
        <v>679</v>
      </c>
      <c r="C48" s="7" t="s">
        <v>617</v>
      </c>
      <c r="D48" s="26" t="s">
        <v>680</v>
      </c>
      <c r="E48" s="7" t="s">
        <v>619</v>
      </c>
      <c r="F48" s="26"/>
      <c r="G48" s="26"/>
      <c r="H48" s="26"/>
    </row>
    <row r="49" customFormat="false" ht="36" hidden="false" customHeight="true" outlineLevel="0" collapsed="false">
      <c r="A49" s="27" t="s">
        <v>350</v>
      </c>
      <c r="B49" s="11" t="s">
        <v>351</v>
      </c>
      <c r="C49" s="10" t="s">
        <v>617</v>
      </c>
      <c r="D49" s="28" t="s">
        <v>681</v>
      </c>
      <c r="E49" s="10" t="s">
        <v>619</v>
      </c>
      <c r="F49" s="28"/>
      <c r="G49" s="28"/>
      <c r="H49" s="28"/>
    </row>
    <row r="50" customFormat="false" ht="36" hidden="false" customHeight="true" outlineLevel="0" collapsed="false">
      <c r="A50" s="25" t="s">
        <v>353</v>
      </c>
      <c r="B50" s="8" t="s">
        <v>682</v>
      </c>
      <c r="C50" s="7" t="s">
        <v>617</v>
      </c>
      <c r="D50" s="26" t="s">
        <v>683</v>
      </c>
      <c r="E50" s="7" t="s">
        <v>619</v>
      </c>
      <c r="F50" s="26"/>
      <c r="G50" s="26"/>
      <c r="H50" s="26"/>
    </row>
    <row r="51" customFormat="false" ht="36" hidden="false" customHeight="true" outlineLevel="0" collapsed="false">
      <c r="A51" s="27" t="s">
        <v>356</v>
      </c>
      <c r="B51" s="11" t="s">
        <v>357</v>
      </c>
      <c r="C51" s="10" t="s">
        <v>617</v>
      </c>
      <c r="D51" s="28" t="s">
        <v>684</v>
      </c>
      <c r="E51" s="10" t="s">
        <v>619</v>
      </c>
      <c r="F51" s="28"/>
      <c r="G51" s="28"/>
      <c r="H51" s="28"/>
    </row>
    <row r="52" customFormat="false" ht="36" hidden="false" customHeight="true" outlineLevel="0" collapsed="false">
      <c r="A52" s="25" t="s">
        <v>359</v>
      </c>
      <c r="B52" s="8" t="s">
        <v>360</v>
      </c>
      <c r="C52" s="7" t="s">
        <v>617</v>
      </c>
      <c r="D52" s="26" t="s">
        <v>685</v>
      </c>
      <c r="E52" s="7" t="s">
        <v>619</v>
      </c>
      <c r="F52" s="26"/>
      <c r="G52" s="26"/>
      <c r="H52" s="26"/>
    </row>
    <row r="53" customFormat="false" ht="36" hidden="false" customHeight="true" outlineLevel="0" collapsed="false">
      <c r="A53" s="27" t="s">
        <v>362</v>
      </c>
      <c r="B53" s="11" t="s">
        <v>363</v>
      </c>
      <c r="C53" s="10" t="s">
        <v>617</v>
      </c>
      <c r="D53" s="28" t="s">
        <v>686</v>
      </c>
      <c r="E53" s="10" t="s">
        <v>619</v>
      </c>
      <c r="F53" s="28"/>
      <c r="G53" s="28"/>
      <c r="H53" s="28"/>
    </row>
    <row r="54" customFormat="false" ht="36" hidden="false" customHeight="true" outlineLevel="0" collapsed="false">
      <c r="A54" s="25" t="s">
        <v>365</v>
      </c>
      <c r="B54" s="8" t="s">
        <v>687</v>
      </c>
      <c r="C54" s="7" t="s">
        <v>617</v>
      </c>
      <c r="D54" s="26" t="s">
        <v>688</v>
      </c>
      <c r="E54" s="7" t="s">
        <v>619</v>
      </c>
      <c r="F54" s="26"/>
      <c r="G54" s="26"/>
      <c r="H54" s="26"/>
    </row>
    <row r="55" customFormat="false" ht="36" hidden="false" customHeight="true" outlineLevel="0" collapsed="false">
      <c r="A55" s="27" t="s">
        <v>368</v>
      </c>
      <c r="B55" s="11" t="s">
        <v>689</v>
      </c>
      <c r="C55" s="10" t="s">
        <v>617</v>
      </c>
      <c r="D55" s="28" t="s">
        <v>690</v>
      </c>
      <c r="E55" s="10" t="s">
        <v>619</v>
      </c>
      <c r="F55" s="28"/>
      <c r="G55" s="28"/>
      <c r="H55" s="28"/>
    </row>
    <row r="56" customFormat="false" ht="36" hidden="false" customHeight="true" outlineLevel="0" collapsed="false">
      <c r="A56" s="25" t="s">
        <v>371</v>
      </c>
      <c r="B56" s="8" t="s">
        <v>372</v>
      </c>
      <c r="C56" s="7" t="s">
        <v>617</v>
      </c>
      <c r="D56" s="26" t="s">
        <v>691</v>
      </c>
      <c r="E56" s="7" t="s">
        <v>619</v>
      </c>
      <c r="F56" s="26"/>
      <c r="G56" s="26"/>
      <c r="H56" s="26"/>
    </row>
    <row r="57" customFormat="false" ht="36" hidden="false" customHeight="true" outlineLevel="0" collapsed="false">
      <c r="A57" s="27" t="s">
        <v>374</v>
      </c>
      <c r="B57" s="11" t="s">
        <v>375</v>
      </c>
      <c r="C57" s="10" t="s">
        <v>617</v>
      </c>
      <c r="D57" s="28" t="s">
        <v>692</v>
      </c>
      <c r="E57" s="10" t="s">
        <v>619</v>
      </c>
      <c r="F57" s="28"/>
      <c r="G57" s="28"/>
      <c r="H57" s="28"/>
    </row>
    <row r="58" customFormat="false" ht="36" hidden="false" customHeight="true" outlineLevel="0" collapsed="false">
      <c r="A58" s="25" t="s">
        <v>377</v>
      </c>
      <c r="B58" s="8" t="s">
        <v>693</v>
      </c>
      <c r="C58" s="7" t="s">
        <v>617</v>
      </c>
      <c r="D58" s="26" t="s">
        <v>694</v>
      </c>
      <c r="E58" s="7" t="s">
        <v>619</v>
      </c>
      <c r="F58" s="26"/>
      <c r="G58" s="26"/>
      <c r="H58" s="26"/>
    </row>
    <row r="59" customFormat="false" ht="36" hidden="false" customHeight="true" outlineLevel="0" collapsed="false">
      <c r="A59" s="27" t="s">
        <v>381</v>
      </c>
      <c r="B59" s="11" t="s">
        <v>382</v>
      </c>
      <c r="C59" s="10" t="s">
        <v>617</v>
      </c>
      <c r="D59" s="28" t="s">
        <v>695</v>
      </c>
      <c r="E59" s="10" t="s">
        <v>619</v>
      </c>
      <c r="F59" s="28"/>
      <c r="G59" s="28"/>
      <c r="H59" s="28"/>
    </row>
    <row r="60" customFormat="false" ht="36" hidden="false" customHeight="true" outlineLevel="0" collapsed="false">
      <c r="A60" s="25" t="s">
        <v>384</v>
      </c>
      <c r="B60" s="8" t="s">
        <v>385</v>
      </c>
      <c r="C60" s="7" t="s">
        <v>617</v>
      </c>
      <c r="D60" s="26" t="s">
        <v>696</v>
      </c>
      <c r="E60" s="7" t="s">
        <v>619</v>
      </c>
      <c r="F60" s="26"/>
      <c r="G60" s="26"/>
      <c r="H60" s="26"/>
    </row>
    <row r="61" customFormat="false" ht="36" hidden="false" customHeight="true" outlineLevel="0" collapsed="false">
      <c r="A61" s="27" t="s">
        <v>387</v>
      </c>
      <c r="B61" s="11" t="s">
        <v>388</v>
      </c>
      <c r="C61" s="10" t="s">
        <v>617</v>
      </c>
      <c r="D61" s="28" t="s">
        <v>697</v>
      </c>
      <c r="E61" s="10" t="s">
        <v>619</v>
      </c>
      <c r="F61" s="28"/>
      <c r="G61" s="28"/>
      <c r="H61" s="28"/>
    </row>
    <row r="62" customFormat="false" ht="36" hidden="false" customHeight="true" outlineLevel="0" collapsed="false">
      <c r="A62" s="25" t="s">
        <v>390</v>
      </c>
      <c r="B62" s="8" t="s">
        <v>698</v>
      </c>
      <c r="C62" s="7" t="s">
        <v>617</v>
      </c>
      <c r="D62" s="26" t="s">
        <v>699</v>
      </c>
      <c r="E62" s="7" t="s">
        <v>619</v>
      </c>
      <c r="F62" s="26"/>
      <c r="G62" s="26"/>
      <c r="H62" s="26"/>
    </row>
    <row r="63" customFormat="false" ht="36" hidden="false" customHeight="true" outlineLevel="0" collapsed="false">
      <c r="A63" s="27" t="s">
        <v>393</v>
      </c>
      <c r="B63" s="11" t="s">
        <v>394</v>
      </c>
      <c r="C63" s="10" t="s">
        <v>617</v>
      </c>
      <c r="D63" s="28" t="s">
        <v>700</v>
      </c>
      <c r="E63" s="10" t="s">
        <v>619</v>
      </c>
      <c r="F63" s="28"/>
      <c r="G63" s="28"/>
      <c r="H63" s="28"/>
    </row>
    <row r="64" customFormat="false" ht="36" hidden="false" customHeight="true" outlineLevel="0" collapsed="false">
      <c r="A64" s="25" t="s">
        <v>396</v>
      </c>
      <c r="B64" s="8" t="s">
        <v>397</v>
      </c>
      <c r="C64" s="7" t="s">
        <v>617</v>
      </c>
      <c r="D64" s="26" t="s">
        <v>701</v>
      </c>
      <c r="E64" s="7" t="s">
        <v>619</v>
      </c>
      <c r="F64" s="26"/>
      <c r="G64" s="26"/>
      <c r="H64" s="26"/>
    </row>
    <row r="65" customFormat="false" ht="36" hidden="false" customHeight="true" outlineLevel="0" collapsed="false">
      <c r="A65" s="27" t="s">
        <v>399</v>
      </c>
      <c r="B65" s="11" t="s">
        <v>400</v>
      </c>
      <c r="C65" s="10" t="s">
        <v>617</v>
      </c>
      <c r="D65" s="28" t="s">
        <v>702</v>
      </c>
      <c r="E65" s="10" t="s">
        <v>619</v>
      </c>
      <c r="F65" s="28"/>
      <c r="G65" s="28"/>
      <c r="H65" s="28"/>
    </row>
    <row r="66" customFormat="false" ht="36" hidden="false" customHeight="true" outlineLevel="0" collapsed="false">
      <c r="A66" s="25" t="s">
        <v>402</v>
      </c>
      <c r="B66" s="8" t="s">
        <v>403</v>
      </c>
      <c r="C66" s="7" t="s">
        <v>617</v>
      </c>
      <c r="D66" s="26" t="s">
        <v>703</v>
      </c>
      <c r="E66" s="7" t="s">
        <v>619</v>
      </c>
      <c r="F66" s="26"/>
      <c r="G66" s="26"/>
      <c r="H66" s="26"/>
    </row>
    <row r="67" customFormat="false" ht="36" hidden="false" customHeight="true" outlineLevel="0" collapsed="false">
      <c r="A67" s="27" t="s">
        <v>405</v>
      </c>
      <c r="B67" s="11" t="s">
        <v>406</v>
      </c>
      <c r="C67" s="10" t="s">
        <v>617</v>
      </c>
      <c r="D67" s="28" t="s">
        <v>704</v>
      </c>
      <c r="E67" s="10" t="s">
        <v>619</v>
      </c>
      <c r="F67" s="28"/>
      <c r="G67" s="28"/>
      <c r="H67" s="28"/>
    </row>
    <row r="68" customFormat="false" ht="36" hidden="false" customHeight="true" outlineLevel="0" collapsed="false">
      <c r="A68" s="25" t="s">
        <v>408</v>
      </c>
      <c r="B68" s="8" t="s">
        <v>409</v>
      </c>
      <c r="C68" s="7" t="s">
        <v>617</v>
      </c>
      <c r="D68" s="26" t="s">
        <v>705</v>
      </c>
      <c r="E68" s="7" t="s">
        <v>619</v>
      </c>
      <c r="F68" s="26"/>
      <c r="G68" s="26"/>
      <c r="H68" s="26"/>
    </row>
    <row r="69" customFormat="false" ht="36" hidden="false" customHeight="true" outlineLevel="0" collapsed="false">
      <c r="A69" s="27" t="s">
        <v>411</v>
      </c>
      <c r="B69" s="11" t="s">
        <v>706</v>
      </c>
      <c r="C69" s="10" t="s">
        <v>617</v>
      </c>
      <c r="D69" s="28" t="s">
        <v>707</v>
      </c>
      <c r="E69" s="10" t="s">
        <v>619</v>
      </c>
      <c r="F69" s="28"/>
      <c r="G69" s="28"/>
      <c r="H69" s="28"/>
    </row>
    <row r="70" customFormat="false" ht="36" hidden="false" customHeight="true" outlineLevel="0" collapsed="false">
      <c r="A70" s="25" t="s">
        <v>414</v>
      </c>
      <c r="B70" s="8" t="s">
        <v>167</v>
      </c>
      <c r="C70" s="7" t="s">
        <v>617</v>
      </c>
      <c r="D70" s="26" t="s">
        <v>708</v>
      </c>
      <c r="E70" s="7" t="s">
        <v>619</v>
      </c>
      <c r="F70" s="26"/>
      <c r="G70" s="26"/>
      <c r="H70" s="26"/>
    </row>
    <row r="71" customFormat="false" ht="36" hidden="false" customHeight="true" outlineLevel="0" collapsed="false">
      <c r="A71" s="27" t="s">
        <v>416</v>
      </c>
      <c r="B71" s="11" t="s">
        <v>417</v>
      </c>
      <c r="C71" s="10" t="s">
        <v>617</v>
      </c>
      <c r="D71" s="28" t="s">
        <v>709</v>
      </c>
      <c r="E71" s="10" t="s">
        <v>619</v>
      </c>
      <c r="F71" s="28"/>
      <c r="G71" s="28"/>
      <c r="H71" s="28"/>
    </row>
    <row r="72" customFormat="false" ht="36" hidden="false" customHeight="true" outlineLevel="0" collapsed="false">
      <c r="A72" s="25" t="s">
        <v>419</v>
      </c>
      <c r="B72" s="8" t="s">
        <v>420</v>
      </c>
      <c r="C72" s="7" t="s">
        <v>617</v>
      </c>
      <c r="D72" s="26" t="s">
        <v>710</v>
      </c>
      <c r="E72" s="7" t="s">
        <v>619</v>
      </c>
      <c r="F72" s="26"/>
      <c r="G72" s="26"/>
      <c r="H72" s="26"/>
    </row>
    <row r="73" customFormat="false" ht="36" hidden="false" customHeight="true" outlineLevel="0" collapsed="false">
      <c r="A73" s="27" t="s">
        <v>423</v>
      </c>
      <c r="B73" s="11" t="s">
        <v>420</v>
      </c>
      <c r="C73" s="10" t="s">
        <v>617</v>
      </c>
      <c r="D73" s="28" t="s">
        <v>711</v>
      </c>
      <c r="E73" s="10" t="s">
        <v>619</v>
      </c>
      <c r="F73" s="28"/>
      <c r="G73" s="28"/>
      <c r="H73" s="28"/>
    </row>
    <row r="74" customFormat="false" ht="36" hidden="false" customHeight="true" outlineLevel="0" collapsed="false">
      <c r="A74" s="25" t="s">
        <v>425</v>
      </c>
      <c r="B74" s="8" t="s">
        <v>426</v>
      </c>
      <c r="C74" s="7" t="s">
        <v>617</v>
      </c>
      <c r="D74" s="26" t="s">
        <v>712</v>
      </c>
      <c r="E74" s="7" t="s">
        <v>619</v>
      </c>
      <c r="F74" s="26"/>
      <c r="G74" s="26"/>
      <c r="H74" s="26"/>
    </row>
    <row r="75" customFormat="false" ht="36" hidden="false" customHeight="true" outlineLevel="0" collapsed="false">
      <c r="A75" s="27" t="s">
        <v>428</v>
      </c>
      <c r="B75" s="11" t="s">
        <v>713</v>
      </c>
      <c r="C75" s="10" t="s">
        <v>617</v>
      </c>
      <c r="D75" s="28" t="s">
        <v>714</v>
      </c>
      <c r="E75" s="10" t="s">
        <v>619</v>
      </c>
      <c r="F75" s="28"/>
      <c r="G75" s="28"/>
      <c r="H75" s="28"/>
    </row>
    <row r="76" customFormat="false" ht="36" hidden="false" customHeight="true" outlineLevel="0" collapsed="false">
      <c r="A76" s="25" t="s">
        <v>431</v>
      </c>
      <c r="B76" s="8" t="s">
        <v>432</v>
      </c>
      <c r="C76" s="7" t="s">
        <v>617</v>
      </c>
      <c r="D76" s="26" t="s">
        <v>715</v>
      </c>
      <c r="E76" s="7" t="s">
        <v>619</v>
      </c>
      <c r="F76" s="26"/>
      <c r="G76" s="26"/>
      <c r="H76" s="26"/>
    </row>
    <row r="77" customFormat="false" ht="36" hidden="false" customHeight="true" outlineLevel="0" collapsed="false">
      <c r="A77" s="27" t="s">
        <v>434</v>
      </c>
      <c r="B77" s="11" t="s">
        <v>435</v>
      </c>
      <c r="C77" s="10" t="s">
        <v>617</v>
      </c>
      <c r="D77" s="28" t="s">
        <v>716</v>
      </c>
      <c r="E77" s="10" t="s">
        <v>619</v>
      </c>
      <c r="F77" s="28"/>
      <c r="G77" s="28"/>
      <c r="H77" s="28"/>
    </row>
    <row r="78" customFormat="false" ht="36" hidden="false" customHeight="true" outlineLevel="0" collapsed="false">
      <c r="A78" s="25" t="s">
        <v>437</v>
      </c>
      <c r="B78" s="8" t="s">
        <v>251</v>
      </c>
      <c r="C78" s="7" t="s">
        <v>617</v>
      </c>
      <c r="D78" s="26" t="s">
        <v>717</v>
      </c>
      <c r="E78" s="7" t="s">
        <v>619</v>
      </c>
      <c r="F78" s="26"/>
      <c r="G78" s="26"/>
      <c r="H78" s="26"/>
    </row>
    <row r="79" customFormat="false" ht="36" hidden="false" customHeight="true" outlineLevel="0" collapsed="false">
      <c r="A79" s="27" t="s">
        <v>440</v>
      </c>
      <c r="B79" s="11" t="s">
        <v>441</v>
      </c>
      <c r="C79" s="10" t="s">
        <v>617</v>
      </c>
      <c r="D79" s="28" t="s">
        <v>718</v>
      </c>
      <c r="E79" s="10" t="s">
        <v>619</v>
      </c>
      <c r="F79" s="28"/>
      <c r="G79" s="28"/>
      <c r="H79" s="28"/>
    </row>
    <row r="80" customFormat="false" ht="36" hidden="false" customHeight="true" outlineLevel="0" collapsed="false">
      <c r="A80" s="25" t="s">
        <v>444</v>
      </c>
      <c r="B80" s="8" t="s">
        <v>719</v>
      </c>
      <c r="C80" s="7" t="s">
        <v>617</v>
      </c>
      <c r="D80" s="26" t="s">
        <v>720</v>
      </c>
      <c r="E80" s="7" t="s">
        <v>619</v>
      </c>
      <c r="F80" s="26"/>
      <c r="G80" s="26"/>
      <c r="H80" s="26"/>
    </row>
    <row r="81" customFormat="false" ht="36" hidden="false" customHeight="true" outlineLevel="0" collapsed="false">
      <c r="A81" s="27" t="s">
        <v>447</v>
      </c>
      <c r="B81" s="11" t="s">
        <v>721</v>
      </c>
      <c r="C81" s="10" t="s">
        <v>617</v>
      </c>
      <c r="D81" s="28" t="s">
        <v>722</v>
      </c>
      <c r="E81" s="10" t="s">
        <v>619</v>
      </c>
      <c r="F81" s="28"/>
      <c r="G81" s="28"/>
      <c r="H81" s="28"/>
    </row>
    <row r="82" customFormat="false" ht="36" hidden="false" customHeight="true" outlineLevel="0" collapsed="false">
      <c r="A82" s="25" t="s">
        <v>450</v>
      </c>
      <c r="B82" s="8" t="s">
        <v>451</v>
      </c>
      <c r="C82" s="7" t="s">
        <v>617</v>
      </c>
      <c r="D82" s="26" t="s">
        <v>723</v>
      </c>
      <c r="E82" s="7" t="s">
        <v>619</v>
      </c>
      <c r="F82" s="26"/>
      <c r="G82" s="26"/>
      <c r="H82" s="26"/>
    </row>
    <row r="83" customFormat="false" ht="36" hidden="false" customHeight="true" outlineLevel="0" collapsed="false">
      <c r="A83" s="27" t="s">
        <v>453</v>
      </c>
      <c r="B83" s="11" t="s">
        <v>724</v>
      </c>
      <c r="C83" s="10" t="s">
        <v>617</v>
      </c>
      <c r="D83" s="28" t="s">
        <v>725</v>
      </c>
      <c r="E83" s="10" t="s">
        <v>619</v>
      </c>
      <c r="F83" s="28"/>
      <c r="G83" s="28"/>
      <c r="H83" s="28"/>
    </row>
    <row r="84" customFormat="false" ht="36" hidden="false" customHeight="true" outlineLevel="0" collapsed="false">
      <c r="A84" s="25" t="s">
        <v>456</v>
      </c>
      <c r="B84" s="8" t="s">
        <v>457</v>
      </c>
      <c r="C84" s="7" t="s">
        <v>617</v>
      </c>
      <c r="D84" s="26" t="s">
        <v>726</v>
      </c>
      <c r="E84" s="7" t="s">
        <v>619</v>
      </c>
      <c r="F84" s="26"/>
      <c r="G84" s="26"/>
      <c r="H84" s="26"/>
    </row>
    <row r="85" customFormat="false" ht="36" hidden="false" customHeight="true" outlineLevel="0" collapsed="false">
      <c r="A85" s="27" t="s">
        <v>459</v>
      </c>
      <c r="B85" s="11" t="s">
        <v>460</v>
      </c>
      <c r="C85" s="10" t="s">
        <v>617</v>
      </c>
      <c r="D85" s="28" t="s">
        <v>385</v>
      </c>
      <c r="E85" s="10" t="s">
        <v>619</v>
      </c>
      <c r="F85" s="28"/>
      <c r="G85" s="28"/>
      <c r="H85" s="28"/>
    </row>
    <row r="86" customFormat="false" ht="36" hidden="false" customHeight="true" outlineLevel="0" collapsed="false">
      <c r="A86" s="25" t="s">
        <v>462</v>
      </c>
      <c r="B86" s="8" t="s">
        <v>727</v>
      </c>
      <c r="C86" s="7" t="s">
        <v>617</v>
      </c>
      <c r="D86" s="26" t="s">
        <v>728</v>
      </c>
      <c r="E86" s="7" t="s">
        <v>619</v>
      </c>
      <c r="F86" s="26"/>
      <c r="G86" s="26"/>
      <c r="H86" s="26"/>
    </row>
    <row r="87" customFormat="false" ht="36" hidden="false" customHeight="true" outlineLevel="0" collapsed="false">
      <c r="A87" s="27" t="s">
        <v>465</v>
      </c>
      <c r="B87" s="11" t="s">
        <v>729</v>
      </c>
      <c r="C87" s="10" t="s">
        <v>617</v>
      </c>
      <c r="D87" s="28" t="s">
        <v>730</v>
      </c>
      <c r="E87" s="10" t="s">
        <v>619</v>
      </c>
      <c r="F87" s="28"/>
      <c r="G87" s="28"/>
      <c r="H87" s="28"/>
    </row>
    <row r="88" customFormat="false" ht="36" hidden="false" customHeight="true" outlineLevel="0" collapsed="false">
      <c r="A88" s="25" t="s">
        <v>468</v>
      </c>
      <c r="B88" s="8" t="s">
        <v>469</v>
      </c>
      <c r="C88" s="7" t="s">
        <v>617</v>
      </c>
      <c r="D88" s="26" t="s">
        <v>731</v>
      </c>
      <c r="E88" s="7" t="s">
        <v>619</v>
      </c>
      <c r="F88" s="26"/>
      <c r="G88" s="26"/>
      <c r="H88" s="26"/>
    </row>
    <row r="89" customFormat="false" ht="36" hidden="false" customHeight="true" outlineLevel="0" collapsed="false">
      <c r="A89" s="27" t="s">
        <v>471</v>
      </c>
      <c r="B89" s="11" t="s">
        <v>472</v>
      </c>
      <c r="C89" s="10" t="s">
        <v>617</v>
      </c>
      <c r="D89" s="28" t="s">
        <v>732</v>
      </c>
      <c r="E89" s="10" t="s">
        <v>619</v>
      </c>
      <c r="F89" s="28"/>
      <c r="G89" s="28"/>
      <c r="H89" s="28"/>
    </row>
    <row r="90" customFormat="false" ht="36" hidden="false" customHeight="true" outlineLevel="0" collapsed="false">
      <c r="A90" s="25" t="s">
        <v>474</v>
      </c>
      <c r="B90" s="8" t="s">
        <v>475</v>
      </c>
      <c r="C90" s="7" t="s">
        <v>617</v>
      </c>
      <c r="D90" s="26" t="s">
        <v>733</v>
      </c>
      <c r="E90" s="7" t="s">
        <v>619</v>
      </c>
      <c r="F90" s="26"/>
      <c r="G90" s="26"/>
      <c r="H90" s="26"/>
    </row>
    <row r="91" customFormat="false" ht="36" hidden="false" customHeight="true" outlineLevel="0" collapsed="false">
      <c r="A91" s="27" t="s">
        <v>477</v>
      </c>
      <c r="B91" s="11" t="s">
        <v>478</v>
      </c>
      <c r="C91" s="10" t="s">
        <v>617</v>
      </c>
      <c r="D91" s="28" t="s">
        <v>734</v>
      </c>
      <c r="E91" s="10" t="s">
        <v>619</v>
      </c>
      <c r="F91" s="28"/>
      <c r="G91" s="28"/>
      <c r="H91" s="28"/>
    </row>
    <row r="92" customFormat="false" ht="36" hidden="false" customHeight="true" outlineLevel="0" collapsed="false">
      <c r="A92" s="25" t="s">
        <v>480</v>
      </c>
      <c r="B92" s="8" t="s">
        <v>481</v>
      </c>
      <c r="C92" s="7" t="s">
        <v>617</v>
      </c>
      <c r="D92" s="26" t="s">
        <v>735</v>
      </c>
      <c r="E92" s="7" t="s">
        <v>619</v>
      </c>
      <c r="F92" s="26"/>
      <c r="G92" s="26"/>
      <c r="H92" s="26"/>
    </row>
    <row r="93" customFormat="false" ht="36" hidden="false" customHeight="true" outlineLevel="0" collapsed="false">
      <c r="A93" s="27" t="s">
        <v>484</v>
      </c>
      <c r="B93" s="11" t="s">
        <v>736</v>
      </c>
      <c r="C93" s="10" t="s">
        <v>617</v>
      </c>
      <c r="D93" s="28" t="s">
        <v>737</v>
      </c>
      <c r="E93" s="10" t="s">
        <v>619</v>
      </c>
      <c r="F93" s="28"/>
      <c r="G93" s="28"/>
      <c r="H93" s="28"/>
    </row>
    <row r="94" customFormat="false" ht="36" hidden="false" customHeight="true" outlineLevel="0" collapsed="false">
      <c r="A94" s="25" t="s">
        <v>487</v>
      </c>
      <c r="B94" s="8" t="s">
        <v>738</v>
      </c>
      <c r="C94" s="7" t="s">
        <v>617</v>
      </c>
      <c r="D94" s="26" t="s">
        <v>739</v>
      </c>
      <c r="E94" s="7" t="s">
        <v>619</v>
      </c>
      <c r="F94" s="26"/>
      <c r="G94" s="26"/>
      <c r="H94" s="26"/>
    </row>
    <row r="95" customFormat="false" ht="36" hidden="false" customHeight="true" outlineLevel="0" collapsed="false">
      <c r="A95" s="27" t="s">
        <v>490</v>
      </c>
      <c r="B95" s="11" t="s">
        <v>491</v>
      </c>
      <c r="C95" s="10" t="s">
        <v>617</v>
      </c>
      <c r="D95" s="28" t="s">
        <v>740</v>
      </c>
      <c r="E95" s="10" t="s">
        <v>619</v>
      </c>
      <c r="F95" s="28"/>
      <c r="G95" s="28"/>
      <c r="H95" s="28"/>
    </row>
    <row r="96" customFormat="false" ht="36" hidden="false" customHeight="true" outlineLevel="0" collapsed="false">
      <c r="A96" s="25" t="s">
        <v>493</v>
      </c>
      <c r="B96" s="8" t="s">
        <v>741</v>
      </c>
      <c r="C96" s="7" t="s">
        <v>617</v>
      </c>
      <c r="D96" s="26" t="s">
        <v>742</v>
      </c>
      <c r="E96" s="7" t="s">
        <v>619</v>
      </c>
      <c r="F96" s="26"/>
      <c r="G96" s="26"/>
      <c r="H96" s="26"/>
    </row>
    <row r="97" customFormat="false" ht="36" hidden="false" customHeight="true" outlineLevel="0" collapsed="false">
      <c r="A97" s="27" t="s">
        <v>496</v>
      </c>
      <c r="B97" s="11" t="s">
        <v>497</v>
      </c>
      <c r="C97" s="10" t="s">
        <v>617</v>
      </c>
      <c r="D97" s="28" t="s">
        <v>743</v>
      </c>
      <c r="E97" s="10" t="s">
        <v>619</v>
      </c>
      <c r="F97" s="28"/>
      <c r="G97" s="28"/>
      <c r="H97" s="28"/>
    </row>
    <row r="98" customFormat="false" ht="36" hidden="false" customHeight="true" outlineLevel="0" collapsed="false">
      <c r="A98" s="25" t="s">
        <v>500</v>
      </c>
      <c r="B98" s="8" t="s">
        <v>501</v>
      </c>
      <c r="C98" s="7" t="s">
        <v>617</v>
      </c>
      <c r="D98" s="26" t="s">
        <v>744</v>
      </c>
      <c r="E98" s="7" t="s">
        <v>619</v>
      </c>
      <c r="F98" s="26"/>
      <c r="G98" s="26"/>
      <c r="H98" s="26"/>
    </row>
    <row r="99" customFormat="false" ht="36" hidden="false" customHeight="true" outlineLevel="0" collapsed="false">
      <c r="A99" s="27" t="s">
        <v>503</v>
      </c>
      <c r="B99" s="11" t="s">
        <v>745</v>
      </c>
      <c r="C99" s="10" t="s">
        <v>617</v>
      </c>
      <c r="D99" s="28" t="s">
        <v>746</v>
      </c>
      <c r="E99" s="10" t="s">
        <v>619</v>
      </c>
      <c r="F99" s="28"/>
      <c r="G99" s="28"/>
      <c r="H99" s="28"/>
    </row>
    <row r="100" customFormat="false" ht="36" hidden="false" customHeight="true" outlineLevel="0" collapsed="false">
      <c r="A100" s="25" t="s">
        <v>506</v>
      </c>
      <c r="B100" s="8" t="s">
        <v>747</v>
      </c>
      <c r="C100" s="7" t="s">
        <v>617</v>
      </c>
      <c r="D100" s="26" t="s">
        <v>748</v>
      </c>
      <c r="E100" s="7" t="s">
        <v>619</v>
      </c>
      <c r="F100" s="26"/>
      <c r="G100" s="26"/>
      <c r="H100" s="26"/>
    </row>
    <row r="101" customFormat="false" ht="36" hidden="false" customHeight="true" outlineLevel="0" collapsed="false">
      <c r="A101" s="27" t="s">
        <v>509</v>
      </c>
      <c r="B101" s="11" t="s">
        <v>749</v>
      </c>
      <c r="C101" s="10" t="s">
        <v>617</v>
      </c>
      <c r="D101" s="28" t="s">
        <v>750</v>
      </c>
      <c r="E101" s="10" t="s">
        <v>619</v>
      </c>
      <c r="F101" s="28"/>
      <c r="G101" s="28"/>
      <c r="H101" s="28"/>
    </row>
    <row r="102" customFormat="false" ht="36" hidden="false" customHeight="true" outlineLevel="0" collapsed="false">
      <c r="A102" s="25" t="s">
        <v>512</v>
      </c>
      <c r="B102" s="8" t="s">
        <v>751</v>
      </c>
      <c r="C102" s="7" t="s">
        <v>617</v>
      </c>
      <c r="D102" s="26" t="s">
        <v>752</v>
      </c>
      <c r="E102" s="7" t="s">
        <v>619</v>
      </c>
      <c r="F102" s="26"/>
      <c r="G102" s="26"/>
      <c r="H102" s="26"/>
    </row>
    <row r="103" customFormat="false" ht="36" hidden="false" customHeight="true" outlineLevel="0" collapsed="false">
      <c r="A103" s="27" t="s">
        <v>515</v>
      </c>
      <c r="B103" s="11" t="s">
        <v>753</v>
      </c>
      <c r="C103" s="10" t="s">
        <v>617</v>
      </c>
      <c r="D103" s="28" t="s">
        <v>754</v>
      </c>
      <c r="E103" s="10" t="s">
        <v>619</v>
      </c>
      <c r="F103" s="28"/>
      <c r="G103" s="28"/>
      <c r="H103" s="28"/>
    </row>
    <row r="104" customFormat="false" ht="36" hidden="false" customHeight="true" outlineLevel="0" collapsed="false">
      <c r="A104" s="25" t="s">
        <v>518</v>
      </c>
      <c r="B104" s="8" t="s">
        <v>519</v>
      </c>
      <c r="C104" s="7" t="s">
        <v>617</v>
      </c>
      <c r="D104" s="26" t="s">
        <v>755</v>
      </c>
      <c r="E104" s="7" t="s">
        <v>619</v>
      </c>
      <c r="F104" s="26"/>
      <c r="G104" s="26"/>
      <c r="H104" s="26"/>
    </row>
    <row r="105" customFormat="false" ht="36" hidden="false" customHeight="true" outlineLevel="0" collapsed="false">
      <c r="A105" s="27" t="s">
        <v>522</v>
      </c>
      <c r="B105" s="11" t="s">
        <v>756</v>
      </c>
      <c r="C105" s="10" t="s">
        <v>617</v>
      </c>
      <c r="D105" s="28" t="s">
        <v>757</v>
      </c>
      <c r="E105" s="10" t="s">
        <v>619</v>
      </c>
      <c r="F105" s="28"/>
      <c r="G105" s="28"/>
      <c r="H105" s="28"/>
    </row>
    <row r="106" customFormat="false" ht="36" hidden="false" customHeight="true" outlineLevel="0" collapsed="false">
      <c r="A106" s="25" t="s">
        <v>525</v>
      </c>
      <c r="B106" s="8" t="s">
        <v>758</v>
      </c>
      <c r="C106" s="7" t="s">
        <v>617</v>
      </c>
      <c r="D106" s="26" t="s">
        <v>759</v>
      </c>
      <c r="E106" s="7" t="s">
        <v>619</v>
      </c>
      <c r="F106" s="26"/>
      <c r="G106" s="26"/>
      <c r="H106" s="26"/>
    </row>
    <row r="107" customFormat="false" ht="36" hidden="false" customHeight="true" outlineLevel="0" collapsed="false">
      <c r="A107" s="27" t="s">
        <v>528</v>
      </c>
      <c r="B107" s="11" t="s">
        <v>760</v>
      </c>
      <c r="C107" s="10" t="s">
        <v>617</v>
      </c>
      <c r="D107" s="28" t="s">
        <v>761</v>
      </c>
      <c r="E107" s="10" t="s">
        <v>619</v>
      </c>
      <c r="F107" s="28"/>
      <c r="G107" s="28"/>
      <c r="H107" s="28"/>
    </row>
    <row r="108" customFormat="false" ht="36" hidden="false" customHeight="true" outlineLevel="0" collapsed="false">
      <c r="A108" s="25" t="s">
        <v>531</v>
      </c>
      <c r="B108" s="8" t="s">
        <v>762</v>
      </c>
      <c r="C108" s="7" t="s">
        <v>617</v>
      </c>
      <c r="D108" s="26" t="s">
        <v>763</v>
      </c>
      <c r="E108" s="7" t="s">
        <v>619</v>
      </c>
      <c r="F108" s="26"/>
      <c r="G108" s="26"/>
      <c r="H108" s="26"/>
    </row>
    <row r="109" customFormat="false" ht="36" hidden="false" customHeight="true" outlineLevel="0" collapsed="false">
      <c r="A109" s="27" t="s">
        <v>535</v>
      </c>
      <c r="B109" s="11" t="s">
        <v>764</v>
      </c>
      <c r="C109" s="10" t="s">
        <v>617</v>
      </c>
      <c r="D109" s="28" t="s">
        <v>765</v>
      </c>
      <c r="E109" s="10" t="s">
        <v>619</v>
      </c>
      <c r="F109" s="28"/>
      <c r="G109" s="28"/>
      <c r="H109" s="28"/>
    </row>
    <row r="110" customFormat="false" ht="36" hidden="false" customHeight="true" outlineLevel="0" collapsed="false">
      <c r="A110" s="25" t="s">
        <v>538</v>
      </c>
      <c r="B110" s="8" t="s">
        <v>539</v>
      </c>
      <c r="C110" s="7" t="s">
        <v>617</v>
      </c>
      <c r="D110" s="26" t="s">
        <v>766</v>
      </c>
      <c r="E110" s="7" t="s">
        <v>619</v>
      </c>
      <c r="F110" s="26"/>
      <c r="G110" s="26"/>
      <c r="H110" s="26"/>
    </row>
    <row r="111" customFormat="false" ht="36" hidden="false" customHeight="true" outlineLevel="0" collapsed="false">
      <c r="A111" s="27" t="s">
        <v>541</v>
      </c>
      <c r="B111" s="11" t="s">
        <v>542</v>
      </c>
      <c r="C111" s="10" t="s">
        <v>617</v>
      </c>
      <c r="D111" s="28" t="s">
        <v>767</v>
      </c>
      <c r="E111" s="10" t="s">
        <v>619</v>
      </c>
      <c r="F111" s="28"/>
      <c r="G111" s="28"/>
      <c r="H111" s="28"/>
    </row>
    <row r="112" customFormat="false" ht="36" hidden="false" customHeight="true" outlineLevel="0" collapsed="false">
      <c r="A112" s="25" t="s">
        <v>544</v>
      </c>
      <c r="B112" s="8" t="s">
        <v>768</v>
      </c>
      <c r="C112" s="7" t="s">
        <v>617</v>
      </c>
      <c r="D112" s="26" t="s">
        <v>769</v>
      </c>
      <c r="E112" s="7" t="s">
        <v>619</v>
      </c>
      <c r="F112" s="26"/>
      <c r="G112" s="26"/>
      <c r="H112" s="26"/>
    </row>
    <row r="113" customFormat="false" ht="36" hidden="false" customHeight="true" outlineLevel="0" collapsed="false">
      <c r="A113" s="27" t="s">
        <v>547</v>
      </c>
      <c r="B113" s="11" t="s">
        <v>548</v>
      </c>
      <c r="C113" s="10" t="s">
        <v>617</v>
      </c>
      <c r="D113" s="28" t="s">
        <v>770</v>
      </c>
      <c r="E113" s="10" t="s">
        <v>619</v>
      </c>
      <c r="F113" s="28"/>
      <c r="G113" s="28"/>
      <c r="H113" s="28"/>
    </row>
    <row r="114" customFormat="false" ht="36" hidden="false" customHeight="true" outlineLevel="0" collapsed="false">
      <c r="A114" s="25" t="s">
        <v>550</v>
      </c>
      <c r="B114" s="8" t="s">
        <v>771</v>
      </c>
      <c r="C114" s="7" t="s">
        <v>617</v>
      </c>
      <c r="D114" s="26" t="s">
        <v>772</v>
      </c>
      <c r="E114" s="7" t="s">
        <v>619</v>
      </c>
      <c r="F114" s="26"/>
      <c r="G114" s="26"/>
      <c r="H114" s="26"/>
    </row>
    <row r="115" customFormat="false" ht="36" hidden="false" customHeight="true" outlineLevel="0" collapsed="false">
      <c r="A115" s="27" t="s">
        <v>553</v>
      </c>
      <c r="B115" s="11" t="s">
        <v>773</v>
      </c>
      <c r="C115" s="10" t="s">
        <v>617</v>
      </c>
      <c r="D115" s="28" t="s">
        <v>774</v>
      </c>
      <c r="E115" s="10" t="s">
        <v>619</v>
      </c>
      <c r="F115" s="28"/>
      <c r="G115" s="28"/>
      <c r="H115" s="28"/>
    </row>
    <row r="116" customFormat="false" ht="36" hidden="false" customHeight="true" outlineLevel="0" collapsed="false">
      <c r="A116" s="25" t="s">
        <v>556</v>
      </c>
      <c r="B116" s="8" t="s">
        <v>557</v>
      </c>
      <c r="C116" s="7" t="s">
        <v>617</v>
      </c>
      <c r="D116" s="26" t="s">
        <v>775</v>
      </c>
      <c r="E116" s="7" t="s">
        <v>619</v>
      </c>
      <c r="F116" s="26"/>
      <c r="G116" s="26"/>
      <c r="H116" s="26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C3:C116" type="list">
      <formula1>"Y,N"</formula1>
      <formula2>0</formula2>
    </dataValidation>
    <dataValidation allowBlank="true" errorStyle="stop" operator="between" showDropDown="false" showErrorMessage="false" showInputMessage="false" sqref="E3:E116" type="list">
      <formula1>"Not Started,In Progress,Implemented,Partially Implemented,Not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8"/>
    <col collapsed="false" customWidth="true" hidden="false" outlineLevel="0" max="9" min="8" style="0" width="18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23" t="s">
        <v>776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39.75" hidden="false" customHeight="true" outlineLevel="0" collapsed="false">
      <c r="A2" s="6" t="s">
        <v>777</v>
      </c>
      <c r="B2" s="6" t="s">
        <v>778</v>
      </c>
      <c r="C2" s="6" t="s">
        <v>779</v>
      </c>
      <c r="D2" s="6" t="s">
        <v>780</v>
      </c>
      <c r="E2" s="6" t="s">
        <v>781</v>
      </c>
      <c r="F2" s="6" t="s">
        <v>782</v>
      </c>
      <c r="G2" s="6" t="s">
        <v>783</v>
      </c>
      <c r="H2" s="6" t="s">
        <v>75</v>
      </c>
      <c r="I2" s="6" t="s">
        <v>784</v>
      </c>
      <c r="J2" s="6" t="s">
        <v>74</v>
      </c>
    </row>
    <row r="3" customFormat="false" ht="51.75" hidden="false" customHeight="true" outlineLevel="0" collapsed="false">
      <c r="A3" s="27" t="s">
        <v>785</v>
      </c>
      <c r="B3" s="10" t="s">
        <v>786</v>
      </c>
      <c r="C3" s="10" t="s">
        <v>303</v>
      </c>
      <c r="D3" s="28" t="s">
        <v>787</v>
      </c>
      <c r="E3" s="10" t="s">
        <v>788</v>
      </c>
      <c r="F3" s="28" t="s">
        <v>789</v>
      </c>
      <c r="G3" s="28" t="s">
        <v>790</v>
      </c>
      <c r="H3" s="10" t="s">
        <v>791</v>
      </c>
      <c r="I3" s="10" t="s">
        <v>792</v>
      </c>
      <c r="J3" s="10" t="s">
        <v>9</v>
      </c>
    </row>
    <row r="4" customFormat="false" ht="51.75" hidden="false" customHeight="true" outlineLevel="0" collapsed="false">
      <c r="A4" s="25" t="s">
        <v>793</v>
      </c>
      <c r="B4" s="7" t="s">
        <v>786</v>
      </c>
      <c r="C4" s="7" t="s">
        <v>396</v>
      </c>
      <c r="D4" s="26" t="s">
        <v>794</v>
      </c>
      <c r="E4" s="7" t="s">
        <v>795</v>
      </c>
      <c r="F4" s="26" t="s">
        <v>796</v>
      </c>
      <c r="G4" s="26" t="s">
        <v>797</v>
      </c>
      <c r="H4" s="7" t="s">
        <v>798</v>
      </c>
      <c r="I4" s="7" t="s">
        <v>799</v>
      </c>
      <c r="J4" s="7" t="s">
        <v>9</v>
      </c>
    </row>
    <row r="5" customFormat="false" ht="51.75" hidden="false" customHeight="true" outlineLevel="0" collapsed="false">
      <c r="A5" s="27" t="s">
        <v>800</v>
      </c>
      <c r="B5" s="10" t="s">
        <v>786</v>
      </c>
      <c r="C5" s="10" t="s">
        <v>244</v>
      </c>
      <c r="D5" s="28" t="s">
        <v>801</v>
      </c>
      <c r="E5" s="10" t="s">
        <v>788</v>
      </c>
      <c r="F5" s="28" t="s">
        <v>802</v>
      </c>
      <c r="G5" s="28" t="s">
        <v>803</v>
      </c>
      <c r="H5" s="10" t="s">
        <v>804</v>
      </c>
      <c r="I5" s="10" t="s">
        <v>805</v>
      </c>
      <c r="J5" s="10" t="s">
        <v>806</v>
      </c>
    </row>
    <row r="6" customFormat="false" ht="51.75" hidden="false" customHeight="true" outlineLevel="0" collapsed="false">
      <c r="A6" s="25" t="s">
        <v>807</v>
      </c>
      <c r="B6" s="7" t="s">
        <v>786</v>
      </c>
      <c r="C6" s="7" t="s">
        <v>414</v>
      </c>
      <c r="D6" s="26" t="s">
        <v>808</v>
      </c>
      <c r="E6" s="7" t="s">
        <v>795</v>
      </c>
      <c r="F6" s="26" t="s">
        <v>809</v>
      </c>
      <c r="G6" s="26" t="s">
        <v>810</v>
      </c>
      <c r="H6" s="7" t="s">
        <v>791</v>
      </c>
      <c r="I6" s="7" t="s">
        <v>792</v>
      </c>
      <c r="J6" s="7" t="s">
        <v>806</v>
      </c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E3:E6" type="list">
      <formula1>"Major Non-Conformity,Minor Non-Conformity,Observation,Opportunity for Improvement"</formula1>
      <formula2>0</formula2>
    </dataValidation>
    <dataValidation allowBlank="true" errorStyle="stop" operator="between" showDropDown="false" showErrorMessage="false" showInputMessage="false" sqref="J3:J6" type="list">
      <formula1>"Open,In Progress,Closed,Overdue"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2026-06-25T18:24:20Z</dcterms:created>
  <dc:creator>openpyxl</dc:creator>
  <dc:description/>
  <dc:language>en-US</dc:language>
  <cp:lastModifiedBy/>
  <dcterms:modified xsi:type="dcterms:W3CDTF">2026-06-25T18:24:21Z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